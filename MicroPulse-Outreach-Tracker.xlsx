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Dashboard" sheetId="2" state="visible" r:id="rId4"/>
    <sheet name="Stage 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<sst xmlns="http://schemas.openxmlformats.org/spreadsheetml/2006/main" count="149" uniqueCount="113">
  <si>
    <t xml:space="preserve">Klúbbur</t>
  </si>
  <si>
    <t xml:space="preserve">Deild</t>
  </si>
  <si>
    <t xml:space="preserve">Sport</t>
  </si>
  <si>
    <t xml:space="preserve">Kyn</t>
  </si>
  <si>
    <t xml:space="preserve">Tengiliður</t>
  </si>
  <si>
    <t xml:space="preserve">Hlutverk</t>
  </si>
  <si>
    <t xml:space="preserve">Email</t>
  </si>
  <si>
    <t xml:space="preserve">Sími</t>
  </si>
  <si>
    <t xml:space="preserve">Source</t>
  </si>
  <si>
    <t xml:space="preserve">Status</t>
  </si>
  <si>
    <t xml:space="preserve">Stig</t>
  </si>
  <si>
    <t xml:space="preserve">Síðasti snerting</t>
  </si>
  <si>
    <t xml:space="preserve">Síðasta tegund</t>
  </si>
  <si>
    <t xml:space="preserve">Næsta skref</t>
  </si>
  <si>
    <t xml:space="preserve">Skref dagsetning</t>
  </si>
  <si>
    <t xml:space="preserve">Frítt pilot byrjar</t>
  </si>
  <si>
    <t xml:space="preserve">Frítt pilot endar</t>
  </si>
  <si>
    <t xml:space="preserve">Áskrift frá</t>
  </si>
  <si>
    <t xml:space="preserve">MRR (€)</t>
  </si>
  <si>
    <t xml:space="preserve">Athugasemdir</t>
  </si>
  <si>
    <t xml:space="preserve">Breiðablik</t>
  </si>
  <si>
    <t xml:space="preserve">Úrvalsdeild</t>
  </si>
  <si>
    <t xml:space="preserve">Fótbolti</t>
  </si>
  <si>
    <t xml:space="preserve">M</t>
  </si>
  <si>
    <t xml:space="preserve">Helgi G.</t>
  </si>
  <si>
    <t xml:space="preserve">Stofnandi</t>
  </si>
  <si>
    <t xml:space="preserve">helgi@metabolic.is</t>
  </si>
  <si>
    <t xml:space="preserve">Network</t>
  </si>
  <si>
    <t xml:space="preserve">Pilot active</t>
  </si>
  <si>
    <t xml:space="preserve">2026-01-15</t>
  </si>
  <si>
    <t xml:space="preserve">pilot-start</t>
  </si>
  <si>
    <t xml:space="preserve">Fara í Convert pilot→paid</t>
  </si>
  <si>
    <t xml:space="preserve">2026-05-15</t>
  </si>
  <si>
    <t xml:space="preserve">2026-02-12</t>
  </si>
  <si>
    <t xml:space="preserve">Pilot stærsta gegn nýju tier-i.</t>
  </si>
  <si>
    <t xml:space="preserve">Grindavík</t>
  </si>
  <si>
    <t xml:space="preserve">1. deild</t>
  </si>
  <si>
    <t xml:space="preserve">Þjálfari</t>
  </si>
  <si>
    <t xml:space="preserve">Cold</t>
  </si>
  <si>
    <t xml:space="preserve">2026-04-15</t>
  </si>
  <si>
    <t xml:space="preserve">Convert pilot → paid eftir 4 vk</t>
  </si>
  <si>
    <t xml:space="preserve">2026-05-13</t>
  </si>
  <si>
    <t xml:space="preserve">ELITE pilot, byrjað í apríl.</t>
  </si>
  <si>
    <t xml:space="preserve">Þór</t>
  </si>
  <si>
    <t xml:space="preserve">2026-05-04</t>
  </si>
  <si>
    <t xml:space="preserve">MD-1 plan + pilot intro call</t>
  </si>
  <si>
    <t xml:space="preserve">2026-05-08</t>
  </si>
  <si>
    <t xml:space="preserve">2026-06-01</t>
  </si>
  <si>
    <t xml:space="preserve">Nýtt pilot í dag — ELITE tier.</t>
  </si>
  <si>
    <t xml:space="preserve">MicroPulse — Outreach Pipeline</t>
  </si>
  <si>
    <t xml:space="preserve">Yfirlit yfir alla cold-outreach + pilot-/paid-conversions.</t>
  </si>
  <si>
    <t xml:space="preserve">Staða — fjöldi klúbba á hverri stöðu</t>
  </si>
  <si>
    <t xml:space="preserve">Lykiltölur</t>
  </si>
  <si>
    <t xml:space="preserve">Fjöldi</t>
  </si>
  <si>
    <t xml:space="preserve">% af heild</t>
  </si>
  <si>
    <t xml:space="preserve">Pilot virk</t>
  </si>
  <si>
    <t xml:space="preserve">Greiðandi kúnnar</t>
  </si>
  <si>
    <t xml:space="preserve">Sent v1</t>
  </si>
  <si>
    <t xml:space="preserve">Sent v2</t>
  </si>
  <si>
    <t xml:space="preserve">ARR (€)</t>
  </si>
  <si>
    <t xml:space="preserve">Sent v3</t>
  </si>
  <si>
    <t xml:space="preserve">Demo bókaðir</t>
  </si>
  <si>
    <t xml:space="preserve">Replied</t>
  </si>
  <si>
    <t xml:space="preserve">Heitur funnel (v1+)</t>
  </si>
  <si>
    <t xml:space="preserve">Demo booked</t>
  </si>
  <si>
    <t xml:space="preserve">Cold (engin snerting)</t>
  </si>
  <si>
    <t xml:space="preserve">Demo done</t>
  </si>
  <si>
    <t xml:space="preserve">Closed-Lost</t>
  </si>
  <si>
    <t xml:space="preserve">Pilot offered</t>
  </si>
  <si>
    <t xml:space="preserve">Pilot ending</t>
  </si>
  <si>
    <t xml:space="preserve">Paid</t>
  </si>
  <si>
    <t xml:space="preserve">On hold</t>
  </si>
  <si>
    <t xml:space="preserve">ALLS</t>
  </si>
  <si>
    <t xml:space="preserve">Conversion rates</t>
  </si>
  <si>
    <t xml:space="preserve">Stage</t>
  </si>
  <si>
    <t xml:space="preserve">Rate</t>
  </si>
  <si>
    <t xml:space="preserve">v1 → svar</t>
  </si>
  <si>
    <t xml:space="preserve">Replied → demo</t>
  </si>
  <si>
    <t xml:space="preserve">Demo → pilot</t>
  </si>
  <si>
    <t xml:space="preserve">Pilot → paid</t>
  </si>
  <si>
    <t xml:space="preserve">Cold → paid (overall)</t>
  </si>
  <si>
    <t xml:space="preserve">Action queue — næstu skref</t>
  </si>
  <si>
    <t xml:space="preserve">Yfir á tíma</t>
  </si>
  <si>
    <t xml:space="preserve">Í dag</t>
  </si>
  <si>
    <t xml:space="preserve">Næstu 7 dagar</t>
  </si>
  <si>
    <t xml:space="preserve">Funnel stage definitions</t>
  </si>
  <si>
    <t xml:space="preserve">Hvað það þýðir</t>
  </si>
  <si>
    <t xml:space="preserve">Klúbbur í pipeline en engin snerting ennþá.</t>
  </si>
  <si>
    <t xml:space="preserve">Senda Cold v1 — sjá Outreach Templates skjal.</t>
  </si>
  <si>
    <t xml:space="preserve">Cold v1 sent. Bíður svars.</t>
  </si>
  <si>
    <t xml:space="preserve">Bíða 5-7 daga, þá v2 ef engin svar.</t>
  </si>
  <si>
    <t xml:space="preserve">Cold v2 sent (með one-pager).</t>
  </si>
  <si>
    <t xml:space="preserve">Bíða 7-10 daga, þá v3 ef engin svar.</t>
  </si>
  <si>
    <t xml:space="preserve">Cold v3 sent — síðasta tilraun.</t>
  </si>
  <si>
    <t xml:space="preserve">Ef engin svar í 14 daga, færa í Closed-Lost. Endurtaka eftir 3 mán.</t>
  </si>
  <si>
    <t xml:space="preserve">Klúbbur svaraði — gæti verið já, nei eða spurning.</t>
  </si>
  <si>
    <t xml:space="preserve">Bregðast strax. Ef yes → bóka demo. Ef objection → nota objection-svar.</t>
  </si>
  <si>
    <t xml:space="preserve">Demo bókaður á tilteknum tíma.</t>
  </si>
  <si>
    <t xml:space="preserve">Undirbúa með þeirra gögnum. 24 klst áður: confirm.</t>
  </si>
  <si>
    <t xml:space="preserve">Demo kláraður.</t>
  </si>
  <si>
    <t xml:space="preserve">Senda post-demo follow-up innan 24 klst með pilot-tilboði.</t>
  </si>
  <si>
    <t xml:space="preserve">Pilot tilboð sent. Bíður svars.</t>
  </si>
  <si>
    <t xml:space="preserve">Bíða 3-5 daga. Ef engin svar, follow-up með nýjum angle.</t>
  </si>
  <si>
    <t xml:space="preserve">4-vikna pilot í gangi.</t>
  </si>
  <si>
    <t xml:space="preserve">Hafa weekly check-in. Á 25.-27. degi senda Convert pilot→paid email.</t>
  </si>
  <si>
    <t xml:space="preserve">Pilot við að enda — annað hvort convert eða cancel.</t>
  </si>
  <si>
    <t xml:space="preserve">Senda Pilot→paid email. Ef engin svar eftir 7 daga, færa í On hold.</t>
  </si>
  <si>
    <t xml:space="preserve">Greiðandi kúnni.</t>
  </si>
  <si>
    <t xml:space="preserve">3 mán check-in. Bíða eftir testimonial og referral.</t>
  </si>
  <si>
    <t xml:space="preserve">Áhugi en ekki rétti tími. Annað hvort budget eða prio-mál.</t>
  </si>
  <si>
    <t xml:space="preserve">Endurtaka eftir 3-6 mán með nýju efni (case study, fréttir).</t>
  </si>
  <si>
    <t xml:space="preserve">Sagt nei eða 3+ silent v3 follow-ups.</t>
  </si>
  <si>
    <t xml:space="preserve">Geymsla. Endurprófa eftir 6+ mánuði ef nýtt efni eða tækifæri.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</si>
</sst>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€#,##0;&quot;(€&quot;#,##0\);\-"/>
    <numFmt numFmtId="167" formatCode="0.0%"/>
    <numFmt numFmtId="168" formatCode="\€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2"/>
      <color rgb="FF1F3A8A"/>
      <name val="Arial"/>
      <family val="0"/>
      <charset val="1"/>
    </font>
    <font>
      <i val="true"/>
      <sz val="12"/>
      <color rgb="FF475569"/>
      <name val="Arial"/>
      <family val="0"/>
      <charset val="1"/>
    </font>
    <font>
      <b val="true"/>
      <sz val="14"/>
      <color rgb="FF1F3A8A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4"/>
      <color rgb="FF16653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92400E"/>
      <name val="Arial"/>
      <family val="0"/>
      <charset val="1"/>
    </font>
    <font>
      <b val="true"/>
      <sz val="14"/>
      <color rgb="FF92400E"/>
      <name val="Arial"/>
      <family val="0"/>
      <charset val="1"/>
    </font>
    <font>
      <b val="true"/>
      <sz val="11"/>
      <color rgb="FF475569"/>
      <name val="Arial"/>
      <family val="0"/>
      <charset val="1"/>
    </font>
    <font>
      <b val="true"/>
      <sz val="14"/>
      <color rgb="FF475569"/>
      <name val="Arial"/>
      <family val="0"/>
      <charset val="1"/>
    </font>
    <font>
      <b val="true"/>
      <sz val="11"/>
      <color rgb="FF9F1239"/>
      <name val="Arial"/>
      <family val="0"/>
      <charset val="1"/>
    </font>
    <font>
      <b val="true"/>
      <sz val="14"/>
      <color rgb="FF9F123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1F3A8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8A"/>
        <bgColor rgb="FF1E3A8A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475569"/>
      </font>
      <fill>
        <patternFill>
          <bgColor rgb="FFF1F5F9"/>
        </patternFill>
      </fill>
    </dxf>
    <dxf>
      <font>
        <name val="Arial"/>
        <charset val="1"/>
        <family val="0"/>
        <b val="1"/>
        <color rgb="FF1E3A8A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14532D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F123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E3A8A"/>
      <rgbColor rgb="FF339966"/>
      <rgbColor rgb="FF003300"/>
      <rgbColor rgb="FF333300"/>
      <rgbColor rgb="FF92400E"/>
      <rgbColor rgb="FF993366"/>
      <rgbColor rgb="FF1F3A8A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6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28"/>
    <col collapsed="false" customWidth="true" hidden="false" outlineLevel="0" max="17" min="15" style="0" width="16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4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/>
      <c r="I2" s="2" t="s">
        <v>27</v>
      </c>
      <c r="J2" s="2" t="s">
        <v>28</v>
      </c>
      <c r="K2" s="2" t="n">
        <v>5</v>
      </c>
      <c r="L2" s="3" t="s">
        <v>29</v>
      </c>
      <c r="M2" s="2" t="s">
        <v>30</v>
      </c>
      <c r="N2" s="2" t="s">
        <v>31</v>
      </c>
      <c r="O2" s="3" t="s">
        <v>32</v>
      </c>
      <c r="P2" s="3" t="s">
        <v>29</v>
      </c>
      <c r="Q2" s="3" t="s">
        <v>33</v>
      </c>
      <c r="R2" s="3"/>
      <c r="S2" s="4" t="n">
        <v>0</v>
      </c>
      <c r="T2" s="2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22</v>
      </c>
      <c r="D3" s="2" t="s">
        <v>23</v>
      </c>
      <c r="E3" s="2"/>
      <c r="F3" s="2" t="s">
        <v>37</v>
      </c>
      <c r="G3" s="2"/>
      <c r="H3" s="2"/>
      <c r="I3" s="2" t="s">
        <v>38</v>
      </c>
      <c r="J3" s="2" t="s">
        <v>28</v>
      </c>
      <c r="K3" s="2" t="n">
        <v>5</v>
      </c>
      <c r="L3" s="3" t="s">
        <v>39</v>
      </c>
      <c r="M3" s="2" t="s">
        <v>30</v>
      </c>
      <c r="N3" s="2" t="s">
        <v>40</v>
      </c>
      <c r="O3" s="3" t="s">
        <v>41</v>
      </c>
      <c r="P3" s="3" t="s">
        <v>39</v>
      </c>
      <c r="Q3" s="3" t="s">
        <v>41</v>
      </c>
      <c r="R3" s="3"/>
      <c r="S3" s="4" t="n">
        <v>0</v>
      </c>
      <c r="T3" s="2" t="s">
        <v>42</v>
      </c>
    </row>
    <row r="4" customFormat="false" ht="15" hidden="false" customHeight="false" outlineLevel="0" collapsed="false">
      <c r="A4" s="2" t="s">
        <v>43</v>
      </c>
      <c r="B4" s="2" t="s">
        <v>36</v>
      </c>
      <c r="C4" s="2" t="s">
        <v>22</v>
      </c>
      <c r="D4" s="2" t="s">
        <v>23</v>
      </c>
      <c r="E4" s="2"/>
      <c r="F4" s="2" t="s">
        <v>37</v>
      </c>
      <c r="G4" s="2"/>
      <c r="H4" s="2"/>
      <c r="I4" s="2" t="s">
        <v>38</v>
      </c>
      <c r="J4" s="2" t="s">
        <v>28</v>
      </c>
      <c r="K4" s="2" t="n">
        <v>5</v>
      </c>
      <c r="L4" s="3" t="s">
        <v>44</v>
      </c>
      <c r="M4" s="2" t="s">
        <v>30</v>
      </c>
      <c r="N4" s="2" t="s">
        <v>45</v>
      </c>
      <c r="O4" s="3" t="s">
        <v>46</v>
      </c>
      <c r="P4" s="3" t="s">
        <v>44</v>
      </c>
      <c r="Q4" s="3" t="s">
        <v>47</v>
      </c>
      <c r="R4" s="3"/>
      <c r="S4" s="4" t="n">
        <v>0</v>
      </c>
      <c r="T4" s="2" t="s">
        <v>48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3"/>
      <c r="P5" s="3"/>
      <c r="Q5" s="3"/>
      <c r="R5" s="3"/>
      <c r="S5" s="4"/>
      <c r="T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3"/>
      <c r="P6" s="3"/>
      <c r="Q6" s="3"/>
      <c r="R6" s="3"/>
      <c r="S6" s="4"/>
      <c r="T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2"/>
      <c r="N7" s="2"/>
      <c r="O7" s="3"/>
      <c r="P7" s="3"/>
      <c r="Q7" s="3"/>
      <c r="R7" s="3"/>
      <c r="S7" s="4"/>
      <c r="T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3"/>
      <c r="P8" s="3"/>
      <c r="Q8" s="3"/>
      <c r="R8" s="3"/>
      <c r="S8" s="4"/>
      <c r="T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"/>
      <c r="N9" s="2"/>
      <c r="O9" s="3"/>
      <c r="P9" s="3"/>
      <c r="Q9" s="3"/>
      <c r="R9" s="3"/>
      <c r="S9" s="4"/>
      <c r="T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3"/>
      <c r="P10" s="3"/>
      <c r="Q10" s="3"/>
      <c r="R10" s="3"/>
      <c r="S10" s="4"/>
      <c r="T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3"/>
      <c r="P11" s="3"/>
      <c r="Q11" s="3"/>
      <c r="R11" s="3"/>
      <c r="S11" s="4"/>
      <c r="T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3"/>
      <c r="P12" s="3"/>
      <c r="Q12" s="3"/>
      <c r="R12" s="3"/>
      <c r="S12" s="4"/>
      <c r="T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3"/>
      <c r="P13" s="3"/>
      <c r="Q13" s="3"/>
      <c r="R13" s="3"/>
      <c r="S13" s="4"/>
      <c r="T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3"/>
      <c r="P14" s="3"/>
      <c r="Q14" s="3"/>
      <c r="R14" s="3"/>
      <c r="S14" s="4"/>
      <c r="T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3"/>
      <c r="P15" s="3"/>
      <c r="Q15" s="3"/>
      <c r="R15" s="3"/>
      <c r="S15" s="4"/>
      <c r="T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3"/>
      <c r="P16" s="3"/>
      <c r="Q16" s="3"/>
      <c r="R16" s="3"/>
      <c r="S16" s="4"/>
      <c r="T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3"/>
      <c r="P17" s="3"/>
      <c r="Q17" s="3"/>
      <c r="R17" s="3"/>
      <c r="S17" s="4"/>
      <c r="T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3"/>
      <c r="P18" s="3"/>
      <c r="Q18" s="3"/>
      <c r="R18" s="3"/>
      <c r="S18" s="4"/>
      <c r="T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3"/>
      <c r="P19" s="3"/>
      <c r="Q19" s="3"/>
      <c r="R19" s="3"/>
      <c r="S19" s="4"/>
      <c r="T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2"/>
      <c r="O20" s="3"/>
      <c r="P20" s="3"/>
      <c r="Q20" s="3"/>
      <c r="R20" s="3"/>
      <c r="S20" s="4"/>
      <c r="T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3"/>
      <c r="P21" s="3"/>
      <c r="Q21" s="3"/>
      <c r="R21" s="3"/>
      <c r="S21" s="4"/>
      <c r="T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3"/>
      <c r="P22" s="3"/>
      <c r="Q22" s="3"/>
      <c r="R22" s="3"/>
      <c r="S22" s="4"/>
      <c r="T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2"/>
      <c r="O23" s="3"/>
      <c r="P23" s="3"/>
      <c r="Q23" s="3"/>
      <c r="R23" s="3"/>
      <c r="S23" s="4"/>
      <c r="T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2"/>
      <c r="O24" s="3"/>
      <c r="P24" s="3"/>
      <c r="Q24" s="3"/>
      <c r="R24" s="3"/>
      <c r="S24" s="4"/>
      <c r="T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2"/>
      <c r="O25" s="3"/>
      <c r="P25" s="3"/>
      <c r="Q25" s="3"/>
      <c r="R25" s="3"/>
      <c r="S25" s="4"/>
      <c r="T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2"/>
      <c r="O26" s="3"/>
      <c r="P26" s="3"/>
      <c r="Q26" s="3"/>
      <c r="R26" s="3"/>
      <c r="S26" s="4"/>
      <c r="T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2"/>
      <c r="O27" s="3"/>
      <c r="P27" s="3"/>
      <c r="Q27" s="3"/>
      <c r="R27" s="3"/>
      <c r="S27" s="4"/>
      <c r="T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3"/>
      <c r="P28" s="3"/>
      <c r="Q28" s="3"/>
      <c r="R28" s="3"/>
      <c r="S28" s="4"/>
      <c r="T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3"/>
      <c r="P29" s="3"/>
      <c r="Q29" s="3"/>
      <c r="R29" s="3"/>
      <c r="S29" s="4"/>
      <c r="T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3"/>
      <c r="P30" s="3"/>
      <c r="Q30" s="3"/>
      <c r="R30" s="3"/>
      <c r="S30" s="4"/>
      <c r="T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3"/>
      <c r="P31" s="3"/>
      <c r="Q31" s="3"/>
      <c r="R31" s="3"/>
      <c r="S31" s="4"/>
      <c r="T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3"/>
      <c r="P32" s="3"/>
      <c r="Q32" s="3"/>
      <c r="R32" s="3"/>
      <c r="S32" s="4"/>
      <c r="T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2"/>
      <c r="O33" s="3"/>
      <c r="P33" s="3"/>
      <c r="Q33" s="3"/>
      <c r="R33" s="3"/>
      <c r="S33" s="4"/>
      <c r="T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2"/>
      <c r="O34" s="3"/>
      <c r="P34" s="3"/>
      <c r="Q34" s="3"/>
      <c r="R34" s="3"/>
      <c r="S34" s="4"/>
      <c r="T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3"/>
      <c r="P35" s="3"/>
      <c r="Q35" s="3"/>
      <c r="R35" s="3"/>
      <c r="S35" s="4"/>
      <c r="T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2"/>
      <c r="O36" s="3"/>
      <c r="P36" s="3"/>
      <c r="Q36" s="3"/>
      <c r="R36" s="3"/>
      <c r="S36" s="4"/>
      <c r="T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2"/>
      <c r="O37" s="3"/>
      <c r="P37" s="3"/>
      <c r="Q37" s="3"/>
      <c r="R37" s="3"/>
      <c r="S37" s="4"/>
      <c r="T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3"/>
      <c r="P38" s="3"/>
      <c r="Q38" s="3"/>
      <c r="R38" s="3"/>
      <c r="S38" s="4"/>
      <c r="T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2"/>
      <c r="O39" s="3"/>
      <c r="P39" s="3"/>
      <c r="Q39" s="3"/>
      <c r="R39" s="3"/>
      <c r="S39" s="4"/>
      <c r="T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2"/>
      <c r="O40" s="3"/>
      <c r="P40" s="3"/>
      <c r="Q40" s="3"/>
      <c r="R40" s="3"/>
      <c r="S40" s="4"/>
      <c r="T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3"/>
      <c r="P41" s="3"/>
      <c r="Q41" s="3"/>
      <c r="R41" s="3"/>
      <c r="S41" s="4"/>
      <c r="T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2"/>
      <c r="O42" s="3"/>
      <c r="P42" s="3"/>
      <c r="Q42" s="3"/>
      <c r="R42" s="3"/>
      <c r="S42" s="4"/>
      <c r="T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2"/>
      <c r="O43" s="3"/>
      <c r="P43" s="3"/>
      <c r="Q43" s="3"/>
      <c r="R43" s="3"/>
      <c r="S43" s="4"/>
      <c r="T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2"/>
      <c r="O44" s="3"/>
      <c r="P44" s="3"/>
      <c r="Q44" s="3"/>
      <c r="R44" s="3"/>
      <c r="S44" s="4"/>
      <c r="T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2"/>
      <c r="O45" s="3"/>
      <c r="P45" s="3"/>
      <c r="Q45" s="3"/>
      <c r="R45" s="3"/>
      <c r="S45" s="4"/>
      <c r="T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2"/>
      <c r="O46" s="3"/>
      <c r="P46" s="3"/>
      <c r="Q46" s="3"/>
      <c r="R46" s="3"/>
      <c r="S46" s="4"/>
      <c r="T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3"/>
      <c r="P47" s="3"/>
      <c r="Q47" s="3"/>
      <c r="R47" s="3"/>
      <c r="S47" s="4"/>
      <c r="T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3"/>
      <c r="P48" s="3"/>
      <c r="Q48" s="3"/>
      <c r="R48" s="3"/>
      <c r="S48" s="4"/>
      <c r="T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3"/>
      <c r="P49" s="3"/>
      <c r="Q49" s="3"/>
      <c r="R49" s="3"/>
      <c r="S49" s="4"/>
      <c r="T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3"/>
      <c r="P50" s="3"/>
      <c r="Q50" s="3"/>
      <c r="R50" s="3"/>
      <c r="S50" s="4"/>
      <c r="T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3"/>
      <c r="P51" s="3"/>
      <c r="Q51" s="3"/>
      <c r="R51" s="3"/>
      <c r="S51" s="4"/>
      <c r="T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3"/>
      <c r="P52" s="3"/>
      <c r="Q52" s="3"/>
      <c r="R52" s="3"/>
      <c r="S52" s="4"/>
      <c r="T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3"/>
      <c r="P53" s="3"/>
      <c r="Q53" s="3"/>
      <c r="R53" s="3"/>
      <c r="S53" s="4"/>
      <c r="T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3"/>
      <c r="P54" s="3"/>
      <c r="Q54" s="3"/>
      <c r="R54" s="3"/>
      <c r="S54" s="4"/>
      <c r="T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3"/>
      <c r="P55" s="3"/>
      <c r="Q55" s="3"/>
      <c r="R55" s="3"/>
      <c r="S55" s="4"/>
      <c r="T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3"/>
      <c r="P56" s="3"/>
      <c r="Q56" s="3"/>
      <c r="R56" s="3"/>
      <c r="S56" s="4"/>
      <c r="T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3"/>
      <c r="P57" s="3"/>
      <c r="Q57" s="3"/>
      <c r="R57" s="3"/>
      <c r="S57" s="4"/>
      <c r="T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3"/>
      <c r="P58" s="3"/>
      <c r="Q58" s="3"/>
      <c r="R58" s="3"/>
      <c r="S58" s="4"/>
      <c r="T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3"/>
      <c r="P59" s="3"/>
      <c r="Q59" s="3"/>
      <c r="R59" s="3"/>
      <c r="S59" s="4"/>
      <c r="T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3"/>
      <c r="P60" s="3"/>
      <c r="Q60" s="3"/>
      <c r="R60" s="3"/>
      <c r="S60" s="4"/>
      <c r="T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3"/>
      <c r="P61" s="3"/>
      <c r="Q61" s="3"/>
      <c r="R61" s="3"/>
      <c r="S61" s="4"/>
      <c r="T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3"/>
      <c r="P62" s="3"/>
      <c r="Q62" s="3"/>
      <c r="R62" s="3"/>
      <c r="S62" s="4"/>
      <c r="T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3"/>
      <c r="P63" s="3"/>
      <c r="Q63" s="3"/>
      <c r="R63" s="3"/>
      <c r="S63" s="4"/>
      <c r="T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3"/>
      <c r="P64" s="3"/>
      <c r="Q64" s="3"/>
      <c r="R64" s="3"/>
      <c r="S64" s="4"/>
      <c r="T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3"/>
      <c r="P65" s="3"/>
      <c r="Q65" s="3"/>
      <c r="R65" s="3"/>
      <c r="S65" s="4"/>
      <c r="T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3"/>
      <c r="P66" s="3"/>
      <c r="Q66" s="3"/>
      <c r="R66" s="3"/>
      <c r="S66" s="4"/>
      <c r="T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2"/>
      <c r="O67" s="3"/>
      <c r="P67" s="3"/>
      <c r="Q67" s="3"/>
      <c r="R67" s="3"/>
      <c r="S67" s="4"/>
      <c r="T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3"/>
      <c r="P68" s="3"/>
      <c r="Q68" s="3"/>
      <c r="R68" s="3"/>
      <c r="S68" s="4"/>
      <c r="T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2"/>
      <c r="O69" s="3"/>
      <c r="P69" s="3"/>
      <c r="Q69" s="3"/>
      <c r="R69" s="3"/>
      <c r="S69" s="4"/>
      <c r="T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2"/>
      <c r="O70" s="3"/>
      <c r="P70" s="3"/>
      <c r="Q70" s="3"/>
      <c r="R70" s="3"/>
      <c r="S70" s="4"/>
      <c r="T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2"/>
      <c r="O71" s="3"/>
      <c r="P71" s="3"/>
      <c r="Q71" s="3"/>
      <c r="R71" s="3"/>
      <c r="S71" s="4"/>
      <c r="T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2"/>
      <c r="O72" s="3"/>
      <c r="P72" s="3"/>
      <c r="Q72" s="3"/>
      <c r="R72" s="3"/>
      <c r="S72" s="4"/>
      <c r="T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2"/>
      <c r="O73" s="3"/>
      <c r="P73" s="3"/>
      <c r="Q73" s="3"/>
      <c r="R73" s="3"/>
      <c r="S73" s="4"/>
      <c r="T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2"/>
      <c r="O74" s="3"/>
      <c r="P74" s="3"/>
      <c r="Q74" s="3"/>
      <c r="R74" s="3"/>
      <c r="S74" s="4"/>
      <c r="T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3"/>
      <c r="P75" s="3"/>
      <c r="Q75" s="3"/>
      <c r="R75" s="3"/>
      <c r="S75" s="4"/>
      <c r="T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3"/>
      <c r="P76" s="3"/>
      <c r="Q76" s="3"/>
      <c r="R76" s="3"/>
      <c r="S76" s="4"/>
      <c r="T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3"/>
      <c r="P77" s="3"/>
      <c r="Q77" s="3"/>
      <c r="R77" s="3"/>
      <c r="S77" s="4"/>
      <c r="T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3"/>
      <c r="P78" s="3"/>
      <c r="Q78" s="3"/>
      <c r="R78" s="3"/>
      <c r="S78" s="4"/>
      <c r="T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3"/>
      <c r="P79" s="3"/>
      <c r="Q79" s="3"/>
      <c r="R79" s="3"/>
      <c r="S79" s="4"/>
      <c r="T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3"/>
      <c r="P80" s="3"/>
      <c r="Q80" s="3"/>
      <c r="R80" s="3"/>
      <c r="S80" s="4"/>
      <c r="T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3"/>
      <c r="P81" s="3"/>
      <c r="Q81" s="3"/>
      <c r="R81" s="3"/>
      <c r="S81" s="4"/>
      <c r="T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3"/>
      <c r="P82" s="3"/>
      <c r="Q82" s="3"/>
      <c r="R82" s="3"/>
      <c r="S82" s="4"/>
      <c r="T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3"/>
      <c r="P83" s="3"/>
      <c r="Q83" s="3"/>
      <c r="R83" s="3"/>
      <c r="S83" s="4"/>
      <c r="T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3"/>
      <c r="P84" s="3"/>
      <c r="Q84" s="3"/>
      <c r="R84" s="3"/>
      <c r="S84" s="4"/>
      <c r="T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3"/>
      <c r="P85" s="3"/>
      <c r="Q85" s="3"/>
      <c r="R85" s="3"/>
      <c r="S85" s="4"/>
      <c r="T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3"/>
      <c r="P86" s="3"/>
      <c r="Q86" s="3"/>
      <c r="R86" s="3"/>
      <c r="S86" s="4"/>
      <c r="T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3"/>
      <c r="P87" s="3"/>
      <c r="Q87" s="3"/>
      <c r="R87" s="3"/>
      <c r="S87" s="4"/>
      <c r="T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3"/>
      <c r="P88" s="3"/>
      <c r="Q88" s="3"/>
      <c r="R88" s="3"/>
      <c r="S88" s="4"/>
      <c r="T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3"/>
      <c r="P89" s="3"/>
      <c r="Q89" s="3"/>
      <c r="R89" s="3"/>
      <c r="S89" s="4"/>
      <c r="T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3"/>
      <c r="P90" s="3"/>
      <c r="Q90" s="3"/>
      <c r="R90" s="3"/>
      <c r="S90" s="4"/>
      <c r="T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3"/>
      <c r="P91" s="3"/>
      <c r="Q91" s="3"/>
      <c r="R91" s="3"/>
      <c r="S91" s="4"/>
      <c r="T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3"/>
      <c r="P92" s="3"/>
      <c r="Q92" s="3"/>
      <c r="R92" s="3"/>
      <c r="S92" s="4"/>
      <c r="T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3"/>
      <c r="P93" s="3"/>
      <c r="Q93" s="3"/>
      <c r="R93" s="3"/>
      <c r="S93" s="4"/>
      <c r="T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3"/>
      <c r="P94" s="3"/>
      <c r="Q94" s="3"/>
      <c r="R94" s="3"/>
      <c r="S94" s="4"/>
      <c r="T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3"/>
      <c r="P95" s="3"/>
      <c r="Q95" s="3"/>
      <c r="R95" s="3"/>
      <c r="S95" s="4"/>
      <c r="T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3"/>
      <c r="P96" s="3"/>
      <c r="Q96" s="3"/>
      <c r="R96" s="3"/>
      <c r="S96" s="4"/>
      <c r="T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3"/>
      <c r="P97" s="3"/>
      <c r="Q97" s="3"/>
      <c r="R97" s="3"/>
      <c r="S97" s="4"/>
      <c r="T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3"/>
      <c r="P98" s="3"/>
      <c r="Q98" s="3"/>
      <c r="R98" s="3"/>
      <c r="S98" s="4"/>
      <c r="T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3"/>
      <c r="P99" s="3"/>
      <c r="Q99" s="3"/>
      <c r="R99" s="3"/>
      <c r="S99" s="4"/>
      <c r="T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3"/>
      <c r="P100" s="3"/>
      <c r="Q100" s="3"/>
      <c r="R100" s="3"/>
      <c r="S100" s="4"/>
      <c r="T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3"/>
      <c r="P101" s="3"/>
      <c r="Q101" s="3"/>
      <c r="R101" s="3"/>
      <c r="S101" s="4"/>
      <c r="T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3"/>
      <c r="P102" s="3"/>
      <c r="Q102" s="3"/>
      <c r="R102" s="3"/>
      <c r="S102" s="4"/>
      <c r="T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3"/>
      <c r="P103" s="3"/>
      <c r="Q103" s="3"/>
      <c r="R103" s="3"/>
      <c r="S103" s="4"/>
      <c r="T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3"/>
      <c r="P104" s="3"/>
      <c r="Q104" s="3"/>
      <c r="R104" s="3"/>
      <c r="S104" s="4"/>
      <c r="T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3"/>
      <c r="P105" s="3"/>
      <c r="Q105" s="3"/>
      <c r="R105" s="3"/>
      <c r="S105" s="4"/>
      <c r="T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3"/>
      <c r="P106" s="3"/>
      <c r="Q106" s="3"/>
      <c r="R106" s="3"/>
      <c r="S106" s="4"/>
      <c r="T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3"/>
      <c r="P107" s="3"/>
      <c r="Q107" s="3"/>
      <c r="R107" s="3"/>
      <c r="S107" s="4"/>
      <c r="T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3"/>
      <c r="P108" s="3"/>
      <c r="Q108" s="3"/>
      <c r="R108" s="3"/>
      <c r="S108" s="4"/>
      <c r="T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3"/>
      <c r="P109" s="3"/>
      <c r="Q109" s="3"/>
      <c r="R109" s="3"/>
      <c r="S109" s="4"/>
      <c r="T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3"/>
      <c r="P110" s="3"/>
      <c r="Q110" s="3"/>
      <c r="R110" s="3"/>
      <c r="S110" s="4"/>
      <c r="T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3"/>
      <c r="P111" s="3"/>
      <c r="Q111" s="3"/>
      <c r="R111" s="3"/>
      <c r="S111" s="4"/>
      <c r="T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3"/>
      <c r="P112" s="3"/>
      <c r="Q112" s="3"/>
      <c r="R112" s="3"/>
      <c r="S112" s="4"/>
      <c r="T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3"/>
      <c r="P113" s="3"/>
      <c r="Q113" s="3"/>
      <c r="R113" s="3"/>
      <c r="S113" s="4"/>
      <c r="T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3"/>
      <c r="P114" s="3"/>
      <c r="Q114" s="3"/>
      <c r="R114" s="3"/>
      <c r="S114" s="4"/>
      <c r="T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3"/>
      <c r="P115" s="3"/>
      <c r="Q115" s="3"/>
      <c r="R115" s="3"/>
      <c r="S115" s="4"/>
      <c r="T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3"/>
      <c r="P116" s="3"/>
      <c r="Q116" s="3"/>
      <c r="R116" s="3"/>
      <c r="S116" s="4"/>
      <c r="T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3"/>
      <c r="P117" s="3"/>
      <c r="Q117" s="3"/>
      <c r="R117" s="3"/>
      <c r="S117" s="4"/>
      <c r="T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3"/>
      <c r="P118" s="3"/>
      <c r="Q118" s="3"/>
      <c r="R118" s="3"/>
      <c r="S118" s="4"/>
      <c r="T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3"/>
      <c r="P119" s="3"/>
      <c r="Q119" s="3"/>
      <c r="R119" s="3"/>
      <c r="S119" s="4"/>
      <c r="T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3"/>
      <c r="P120" s="3"/>
      <c r="Q120" s="3"/>
      <c r="R120" s="3"/>
      <c r="S120" s="4"/>
      <c r="T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3"/>
      <c r="P121" s="3"/>
      <c r="Q121" s="3"/>
      <c r="R121" s="3"/>
      <c r="S121" s="4"/>
      <c r="T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3"/>
      <c r="P122" s="3"/>
      <c r="Q122" s="3"/>
      <c r="R122" s="3"/>
      <c r="S122" s="4"/>
      <c r="T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3"/>
      <c r="P123" s="3"/>
      <c r="Q123" s="3"/>
      <c r="R123" s="3"/>
      <c r="S123" s="4"/>
      <c r="T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3"/>
      <c r="P124" s="3"/>
      <c r="Q124" s="3"/>
      <c r="R124" s="3"/>
      <c r="S124" s="4"/>
      <c r="T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3"/>
      <c r="P125" s="3"/>
      <c r="Q125" s="3"/>
      <c r="R125" s="3"/>
      <c r="S125" s="4"/>
      <c r="T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3"/>
      <c r="P126" s="3"/>
      <c r="Q126" s="3"/>
      <c r="R126" s="3"/>
      <c r="S126" s="4"/>
      <c r="T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3"/>
      <c r="P127" s="3"/>
      <c r="Q127" s="3"/>
      <c r="R127" s="3"/>
      <c r="S127" s="4"/>
      <c r="T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3"/>
      <c r="P128" s="3"/>
      <c r="Q128" s="3"/>
      <c r="R128" s="3"/>
      <c r="S128" s="4"/>
      <c r="T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3"/>
      <c r="P129" s="3"/>
      <c r="Q129" s="3"/>
      <c r="R129" s="3"/>
      <c r="S129" s="4"/>
      <c r="T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3"/>
      <c r="P130" s="3"/>
      <c r="Q130" s="3"/>
      <c r="R130" s="3"/>
      <c r="S130" s="4"/>
      <c r="T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3"/>
      <c r="P131" s="3"/>
      <c r="Q131" s="3"/>
      <c r="R131" s="3"/>
      <c r="S131" s="4"/>
      <c r="T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3"/>
      <c r="P132" s="3"/>
      <c r="Q132" s="3"/>
      <c r="R132" s="3"/>
      <c r="S132" s="4"/>
      <c r="T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3"/>
      <c r="P133" s="3"/>
      <c r="Q133" s="3"/>
      <c r="R133" s="3"/>
      <c r="S133" s="4"/>
      <c r="T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3"/>
      <c r="P134" s="3"/>
      <c r="Q134" s="3"/>
      <c r="R134" s="3"/>
      <c r="S134" s="4"/>
      <c r="T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3"/>
      <c r="P135" s="3"/>
      <c r="Q135" s="3"/>
      <c r="R135" s="3"/>
      <c r="S135" s="4"/>
      <c r="T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3"/>
      <c r="P136" s="3"/>
      <c r="Q136" s="3"/>
      <c r="R136" s="3"/>
      <c r="S136" s="4"/>
      <c r="T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3"/>
      <c r="P137" s="3"/>
      <c r="Q137" s="3"/>
      <c r="R137" s="3"/>
      <c r="S137" s="4"/>
      <c r="T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3"/>
      <c r="P138" s="3"/>
      <c r="Q138" s="3"/>
      <c r="R138" s="3"/>
      <c r="S138" s="4"/>
      <c r="T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3"/>
      <c r="P139" s="3"/>
      <c r="Q139" s="3"/>
      <c r="R139" s="3"/>
      <c r="S139" s="4"/>
      <c r="T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3"/>
      <c r="P140" s="3"/>
      <c r="Q140" s="3"/>
      <c r="R140" s="3"/>
      <c r="S140" s="4"/>
      <c r="T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3"/>
      <c r="P141" s="3"/>
      <c r="Q141" s="3"/>
      <c r="R141" s="3"/>
      <c r="S141" s="4"/>
      <c r="T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3"/>
      <c r="P142" s="3"/>
      <c r="Q142" s="3"/>
      <c r="R142" s="3"/>
      <c r="S142" s="4"/>
      <c r="T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3"/>
      <c r="P143" s="3"/>
      <c r="Q143" s="3"/>
      <c r="R143" s="3"/>
      <c r="S143" s="4"/>
      <c r="T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3"/>
      <c r="P144" s="3"/>
      <c r="Q144" s="3"/>
      <c r="R144" s="3"/>
      <c r="S144" s="4"/>
      <c r="T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3"/>
      <c r="P145" s="3"/>
      <c r="Q145" s="3"/>
      <c r="R145" s="3"/>
      <c r="S145" s="4"/>
      <c r="T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3"/>
      <c r="P146" s="3"/>
      <c r="Q146" s="3"/>
      <c r="R146" s="3"/>
      <c r="S146" s="4"/>
      <c r="T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3"/>
      <c r="P147" s="3"/>
      <c r="Q147" s="3"/>
      <c r="R147" s="3"/>
      <c r="S147" s="4"/>
      <c r="T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3"/>
      <c r="P148" s="3"/>
      <c r="Q148" s="3"/>
      <c r="R148" s="3"/>
      <c r="S148" s="4"/>
      <c r="T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3"/>
      <c r="P149" s="3"/>
      <c r="Q149" s="3"/>
      <c r="R149" s="3"/>
      <c r="S149" s="4"/>
      <c r="T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3"/>
      <c r="P150" s="3"/>
      <c r="Q150" s="3"/>
      <c r="R150" s="3"/>
      <c r="S150" s="4"/>
      <c r="T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3"/>
      <c r="P151" s="3"/>
      <c r="Q151" s="3"/>
      <c r="R151" s="3"/>
      <c r="S151" s="4"/>
      <c r="T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3"/>
      <c r="P152" s="3"/>
      <c r="Q152" s="3"/>
      <c r="R152" s="3"/>
      <c r="S152" s="4"/>
      <c r="T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3"/>
      <c r="P153" s="3"/>
      <c r="Q153" s="3"/>
      <c r="R153" s="3"/>
      <c r="S153" s="4"/>
      <c r="T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3"/>
      <c r="P154" s="3"/>
      <c r="Q154" s="3"/>
      <c r="R154" s="3"/>
      <c r="S154" s="4"/>
      <c r="T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2"/>
      <c r="O155" s="3"/>
      <c r="P155" s="3"/>
      <c r="Q155" s="3"/>
      <c r="R155" s="3"/>
      <c r="S155" s="4"/>
      <c r="T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2"/>
      <c r="O156" s="3"/>
      <c r="P156" s="3"/>
      <c r="Q156" s="3"/>
      <c r="R156" s="3"/>
      <c r="S156" s="4"/>
      <c r="T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2"/>
      <c r="O157" s="3"/>
      <c r="P157" s="3"/>
      <c r="Q157" s="3"/>
      <c r="R157" s="3"/>
      <c r="S157" s="4"/>
      <c r="T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2"/>
      <c r="O158" s="3"/>
      <c r="P158" s="3"/>
      <c r="Q158" s="3"/>
      <c r="R158" s="3"/>
      <c r="S158" s="4"/>
      <c r="T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2"/>
      <c r="O159" s="3"/>
      <c r="P159" s="3"/>
      <c r="Q159" s="3"/>
      <c r="R159" s="3"/>
      <c r="S159" s="4"/>
      <c r="T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2"/>
      <c r="O160" s="3"/>
      <c r="P160" s="3"/>
      <c r="Q160" s="3"/>
      <c r="R160" s="3"/>
      <c r="S160" s="4"/>
      <c r="T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2"/>
      <c r="O161" s="3"/>
      <c r="P161" s="3"/>
      <c r="Q161" s="3"/>
      <c r="R161" s="3"/>
      <c r="S161" s="4"/>
      <c r="T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3"/>
      <c r="P162" s="3"/>
      <c r="Q162" s="3"/>
      <c r="R162" s="3"/>
      <c r="S162" s="4"/>
      <c r="T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2"/>
      <c r="O163" s="3"/>
      <c r="P163" s="3"/>
      <c r="Q163" s="3"/>
      <c r="R163" s="3"/>
      <c r="S163" s="4"/>
      <c r="T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2"/>
      <c r="O164" s="3"/>
      <c r="P164" s="3"/>
      <c r="Q164" s="3"/>
      <c r="R164" s="3"/>
      <c r="S164" s="4"/>
      <c r="T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2"/>
      <c r="O165" s="3"/>
      <c r="P165" s="3"/>
      <c r="Q165" s="3"/>
      <c r="R165" s="3"/>
      <c r="S165" s="4"/>
      <c r="T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2"/>
      <c r="O166" s="3"/>
      <c r="P166" s="3"/>
      <c r="Q166" s="3"/>
      <c r="R166" s="3"/>
      <c r="S166" s="4"/>
      <c r="T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2"/>
      <c r="O167" s="3"/>
      <c r="P167" s="3"/>
      <c r="Q167" s="3"/>
      <c r="R167" s="3"/>
      <c r="S167" s="4"/>
      <c r="T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2"/>
      <c r="O168" s="3"/>
      <c r="P168" s="3"/>
      <c r="Q168" s="3"/>
      <c r="R168" s="3"/>
      <c r="S168" s="4"/>
      <c r="T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2"/>
      <c r="O169" s="3"/>
      <c r="P169" s="3"/>
      <c r="Q169" s="3"/>
      <c r="R169" s="3"/>
      <c r="S169" s="4"/>
      <c r="T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2"/>
      <c r="O170" s="3"/>
      <c r="P170" s="3"/>
      <c r="Q170" s="3"/>
      <c r="R170" s="3"/>
      <c r="S170" s="4"/>
      <c r="T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2"/>
      <c r="O171" s="3"/>
      <c r="P171" s="3"/>
      <c r="Q171" s="3"/>
      <c r="R171" s="3"/>
      <c r="S171" s="4"/>
      <c r="T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2"/>
      <c r="O172" s="3"/>
      <c r="P172" s="3"/>
      <c r="Q172" s="3"/>
      <c r="R172" s="3"/>
      <c r="S172" s="4"/>
      <c r="T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2"/>
      <c r="O173" s="3"/>
      <c r="P173" s="3"/>
      <c r="Q173" s="3"/>
      <c r="R173" s="3"/>
      <c r="S173" s="4"/>
      <c r="T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2"/>
      <c r="O174" s="3"/>
      <c r="P174" s="3"/>
      <c r="Q174" s="3"/>
      <c r="R174" s="3"/>
      <c r="S174" s="4"/>
      <c r="T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2"/>
      <c r="O175" s="3"/>
      <c r="P175" s="3"/>
      <c r="Q175" s="3"/>
      <c r="R175" s="3"/>
      <c r="S175" s="4"/>
      <c r="T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2"/>
      <c r="O176" s="3"/>
      <c r="P176" s="3"/>
      <c r="Q176" s="3"/>
      <c r="R176" s="3"/>
      <c r="S176" s="4"/>
      <c r="T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2"/>
      <c r="O177" s="3"/>
      <c r="P177" s="3"/>
      <c r="Q177" s="3"/>
      <c r="R177" s="3"/>
      <c r="S177" s="4"/>
      <c r="T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2"/>
      <c r="O178" s="3"/>
      <c r="P178" s="3"/>
      <c r="Q178" s="3"/>
      <c r="R178" s="3"/>
      <c r="S178" s="4"/>
      <c r="T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2"/>
      <c r="O179" s="3"/>
      <c r="P179" s="3"/>
      <c r="Q179" s="3"/>
      <c r="R179" s="3"/>
      <c r="S179" s="4"/>
      <c r="T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2"/>
      <c r="O180" s="3"/>
      <c r="P180" s="3"/>
      <c r="Q180" s="3"/>
      <c r="R180" s="3"/>
      <c r="S180" s="4"/>
      <c r="T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2"/>
      <c r="O181" s="3"/>
      <c r="P181" s="3"/>
      <c r="Q181" s="3"/>
      <c r="R181" s="3"/>
      <c r="S181" s="4"/>
      <c r="T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3"/>
      <c r="P182" s="3"/>
      <c r="Q182" s="3"/>
      <c r="R182" s="3"/>
      <c r="S182" s="4"/>
      <c r="T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2"/>
      <c r="O183" s="3"/>
      <c r="P183" s="3"/>
      <c r="Q183" s="3"/>
      <c r="R183" s="3"/>
      <c r="S183" s="4"/>
      <c r="T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2"/>
      <c r="O184" s="3"/>
      <c r="P184" s="3"/>
      <c r="Q184" s="3"/>
      <c r="R184" s="3"/>
      <c r="S184" s="4"/>
      <c r="T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2"/>
      <c r="O185" s="3"/>
      <c r="P185" s="3"/>
      <c r="Q185" s="3"/>
      <c r="R185" s="3"/>
      <c r="S185" s="4"/>
      <c r="T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2"/>
      <c r="O186" s="3"/>
      <c r="P186" s="3"/>
      <c r="Q186" s="3"/>
      <c r="R186" s="3"/>
      <c r="S186" s="4"/>
      <c r="T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2"/>
      <c r="O187" s="3"/>
      <c r="P187" s="3"/>
      <c r="Q187" s="3"/>
      <c r="R187" s="3"/>
      <c r="S187" s="4"/>
      <c r="T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2"/>
      <c r="O188" s="3"/>
      <c r="P188" s="3"/>
      <c r="Q188" s="3"/>
      <c r="R188" s="3"/>
      <c r="S188" s="4"/>
      <c r="T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2"/>
      <c r="O189" s="3"/>
      <c r="P189" s="3"/>
      <c r="Q189" s="3"/>
      <c r="R189" s="3"/>
      <c r="S189" s="4"/>
      <c r="T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2"/>
      <c r="O190" s="3"/>
      <c r="P190" s="3"/>
      <c r="Q190" s="3"/>
      <c r="R190" s="3"/>
      <c r="S190" s="4"/>
      <c r="T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2"/>
      <c r="O191" s="3"/>
      <c r="P191" s="3"/>
      <c r="Q191" s="3"/>
      <c r="R191" s="3"/>
      <c r="S191" s="4"/>
      <c r="T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2"/>
      <c r="O192" s="3"/>
      <c r="P192" s="3"/>
      <c r="Q192" s="3"/>
      <c r="R192" s="3"/>
      <c r="S192" s="4"/>
      <c r="T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2"/>
      <c r="O193" s="3"/>
      <c r="P193" s="3"/>
      <c r="Q193" s="3"/>
      <c r="R193" s="3"/>
      <c r="S193" s="4"/>
      <c r="T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2"/>
      <c r="O194" s="3"/>
      <c r="P194" s="3"/>
      <c r="Q194" s="3"/>
      <c r="R194" s="3"/>
      <c r="S194" s="4"/>
      <c r="T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2"/>
      <c r="O195" s="3"/>
      <c r="P195" s="3"/>
      <c r="Q195" s="3"/>
      <c r="R195" s="3"/>
      <c r="S195" s="4"/>
      <c r="T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2"/>
      <c r="O196" s="3"/>
      <c r="P196" s="3"/>
      <c r="Q196" s="3"/>
      <c r="R196" s="3"/>
      <c r="S196" s="4"/>
      <c r="T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2"/>
      <c r="O197" s="3"/>
      <c r="P197" s="3"/>
      <c r="Q197" s="3"/>
      <c r="R197" s="3"/>
      <c r="S197" s="4"/>
      <c r="T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2"/>
      <c r="O198" s="3"/>
      <c r="P198" s="3"/>
      <c r="Q198" s="3"/>
      <c r="R198" s="3"/>
      <c r="S198" s="4"/>
      <c r="T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2"/>
      <c r="O199" s="3"/>
      <c r="P199" s="3"/>
      <c r="Q199" s="3"/>
      <c r="R199" s="3"/>
      <c r="S199" s="4"/>
      <c r="T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2"/>
      <c r="O200" s="3"/>
      <c r="P200" s="3"/>
      <c r="Q200" s="3"/>
      <c r="R200" s="3"/>
      <c r="S200" s="4"/>
      <c r="T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2"/>
      <c r="O201" s="3"/>
      <c r="P201" s="3"/>
      <c r="Q201" s="3"/>
      <c r="R201" s="3"/>
      <c r="S201" s="4"/>
      <c r="T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2"/>
      <c r="O202" s="3"/>
      <c r="P202" s="3"/>
      <c r="Q202" s="3"/>
      <c r="R202" s="3"/>
      <c r="S202" s="4"/>
      <c r="T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2"/>
      <c r="O203" s="3"/>
      <c r="P203" s="3"/>
      <c r="Q203" s="3"/>
      <c r="R203" s="3"/>
      <c r="S203" s="4"/>
      <c r="T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2"/>
      <c r="O204" s="3"/>
      <c r="P204" s="3"/>
      <c r="Q204" s="3"/>
      <c r="R204" s="3"/>
      <c r="S204" s="4"/>
      <c r="T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2"/>
      <c r="O205" s="3"/>
      <c r="P205" s="3"/>
      <c r="Q205" s="3"/>
      <c r="R205" s="3"/>
      <c r="S205" s="4"/>
      <c r="T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2"/>
      <c r="O206" s="3"/>
      <c r="P206" s="3"/>
      <c r="Q206" s="3"/>
      <c r="R206" s="3"/>
      <c r="S206" s="4"/>
      <c r="T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2"/>
      <c r="O207" s="3"/>
      <c r="P207" s="3"/>
      <c r="Q207" s="3"/>
      <c r="R207" s="3"/>
      <c r="S207" s="4"/>
      <c r="T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2"/>
      <c r="O208" s="3"/>
      <c r="P208" s="3"/>
      <c r="Q208" s="3"/>
      <c r="R208" s="3"/>
      <c r="S208" s="4"/>
      <c r="T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2"/>
      <c r="O209" s="3"/>
      <c r="P209" s="3"/>
      <c r="Q209" s="3"/>
      <c r="R209" s="3"/>
      <c r="S209" s="4"/>
      <c r="T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2"/>
      <c r="O210" s="3"/>
      <c r="P210" s="3"/>
      <c r="Q210" s="3"/>
      <c r="R210" s="3"/>
      <c r="S210" s="4"/>
      <c r="T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2"/>
      <c r="O211" s="3"/>
      <c r="P211" s="3"/>
      <c r="Q211" s="3"/>
      <c r="R211" s="3"/>
      <c r="S211" s="4"/>
      <c r="T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2"/>
      <c r="O212" s="3"/>
      <c r="P212" s="3"/>
      <c r="Q212" s="3"/>
      <c r="R212" s="3"/>
      <c r="S212" s="4"/>
      <c r="T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2"/>
      <c r="O213" s="3"/>
      <c r="P213" s="3"/>
      <c r="Q213" s="3"/>
      <c r="R213" s="3"/>
      <c r="S213" s="4"/>
      <c r="T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2"/>
      <c r="O214" s="3"/>
      <c r="P214" s="3"/>
      <c r="Q214" s="3"/>
      <c r="R214" s="3"/>
      <c r="S214" s="4"/>
      <c r="T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2"/>
      <c r="O215" s="3"/>
      <c r="P215" s="3"/>
      <c r="Q215" s="3"/>
      <c r="R215" s="3"/>
      <c r="S215" s="4"/>
      <c r="T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2"/>
      <c r="O216" s="3"/>
      <c r="P216" s="3"/>
      <c r="Q216" s="3"/>
      <c r="R216" s="3"/>
      <c r="S216" s="4"/>
      <c r="T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2"/>
      <c r="O217" s="3"/>
      <c r="P217" s="3"/>
      <c r="Q217" s="3"/>
      <c r="R217" s="3"/>
      <c r="S217" s="4"/>
      <c r="T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2"/>
      <c r="O218" s="3"/>
      <c r="P218" s="3"/>
      <c r="Q218" s="3"/>
      <c r="R218" s="3"/>
      <c r="S218" s="4"/>
      <c r="T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2"/>
      <c r="O219" s="3"/>
      <c r="P219" s="3"/>
      <c r="Q219" s="3"/>
      <c r="R219" s="3"/>
      <c r="S219" s="4"/>
      <c r="T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2"/>
      <c r="O220" s="3"/>
      <c r="P220" s="3"/>
      <c r="Q220" s="3"/>
      <c r="R220" s="3"/>
      <c r="S220" s="4"/>
      <c r="T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2"/>
      <c r="O221" s="3"/>
      <c r="P221" s="3"/>
      <c r="Q221" s="3"/>
      <c r="R221" s="3"/>
      <c r="S221" s="4"/>
      <c r="T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3"/>
      <c r="P222" s="3"/>
      <c r="Q222" s="3"/>
      <c r="R222" s="3"/>
      <c r="S222" s="4"/>
      <c r="T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2"/>
      <c r="O223" s="3"/>
      <c r="P223" s="3"/>
      <c r="Q223" s="3"/>
      <c r="R223" s="3"/>
      <c r="S223" s="4"/>
      <c r="T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2"/>
      <c r="O224" s="3"/>
      <c r="P224" s="3"/>
      <c r="Q224" s="3"/>
      <c r="R224" s="3"/>
      <c r="S224" s="4"/>
      <c r="T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2"/>
      <c r="O225" s="3"/>
      <c r="P225" s="3"/>
      <c r="Q225" s="3"/>
      <c r="R225" s="3"/>
      <c r="S225" s="4"/>
      <c r="T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2"/>
      <c r="O226" s="3"/>
      <c r="P226" s="3"/>
      <c r="Q226" s="3"/>
      <c r="R226" s="3"/>
      <c r="S226" s="4"/>
      <c r="T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2"/>
      <c r="O227" s="3"/>
      <c r="P227" s="3"/>
      <c r="Q227" s="3"/>
      <c r="R227" s="3"/>
      <c r="S227" s="4"/>
      <c r="T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2"/>
      <c r="O228" s="3"/>
      <c r="P228" s="3"/>
      <c r="Q228" s="3"/>
      <c r="R228" s="3"/>
      <c r="S228" s="4"/>
      <c r="T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2"/>
      <c r="O229" s="3"/>
      <c r="P229" s="3"/>
      <c r="Q229" s="3"/>
      <c r="R229" s="3"/>
      <c r="S229" s="4"/>
      <c r="T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2"/>
      <c r="O230" s="3"/>
      <c r="P230" s="3"/>
      <c r="Q230" s="3"/>
      <c r="R230" s="3"/>
      <c r="S230" s="4"/>
      <c r="T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2"/>
      <c r="O231" s="3"/>
      <c r="P231" s="3"/>
      <c r="Q231" s="3"/>
      <c r="R231" s="3"/>
      <c r="S231" s="4"/>
      <c r="T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2"/>
      <c r="O232" s="3"/>
      <c r="P232" s="3"/>
      <c r="Q232" s="3"/>
      <c r="R232" s="3"/>
      <c r="S232" s="4"/>
      <c r="T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2"/>
      <c r="O233" s="3"/>
      <c r="P233" s="3"/>
      <c r="Q233" s="3"/>
      <c r="R233" s="3"/>
      <c r="S233" s="4"/>
      <c r="T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2"/>
      <c r="O234" s="3"/>
      <c r="P234" s="3"/>
      <c r="Q234" s="3"/>
      <c r="R234" s="3"/>
      <c r="S234" s="4"/>
      <c r="T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2"/>
      <c r="O235" s="3"/>
      <c r="P235" s="3"/>
      <c r="Q235" s="3"/>
      <c r="R235" s="3"/>
      <c r="S235" s="4"/>
      <c r="T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3"/>
      <c r="P236" s="3"/>
      <c r="Q236" s="3"/>
      <c r="R236" s="3"/>
      <c r="S236" s="4"/>
      <c r="T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2"/>
      <c r="O237" s="3"/>
      <c r="P237" s="3"/>
      <c r="Q237" s="3"/>
      <c r="R237" s="3"/>
      <c r="S237" s="4"/>
      <c r="T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2"/>
      <c r="O238" s="3"/>
      <c r="P238" s="3"/>
      <c r="Q238" s="3"/>
      <c r="R238" s="3"/>
      <c r="S238" s="4"/>
      <c r="T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2"/>
      <c r="O239" s="3"/>
      <c r="P239" s="3"/>
      <c r="Q239" s="3"/>
      <c r="R239" s="3"/>
      <c r="S239" s="4"/>
      <c r="T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2"/>
      <c r="O240" s="3"/>
      <c r="P240" s="3"/>
      <c r="Q240" s="3"/>
      <c r="R240" s="3"/>
      <c r="S240" s="4"/>
      <c r="T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2"/>
      <c r="O241" s="3"/>
      <c r="P241" s="3"/>
      <c r="Q241" s="3"/>
      <c r="R241" s="3"/>
      <c r="S241" s="4"/>
      <c r="T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2"/>
      <c r="O242" s="3"/>
      <c r="P242" s="3"/>
      <c r="Q242" s="3"/>
      <c r="R242" s="3"/>
      <c r="S242" s="4"/>
      <c r="T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3"/>
      <c r="P243" s="3"/>
      <c r="Q243" s="3"/>
      <c r="R243" s="3"/>
      <c r="S243" s="4"/>
      <c r="T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3"/>
      <c r="P244" s="3"/>
      <c r="Q244" s="3"/>
      <c r="R244" s="3"/>
      <c r="S244" s="4"/>
      <c r="T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3"/>
      <c r="P245" s="3"/>
      <c r="Q245" s="3"/>
      <c r="R245" s="3"/>
      <c r="S245" s="4"/>
      <c r="T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3"/>
      <c r="P246" s="3"/>
      <c r="Q246" s="3"/>
      <c r="R246" s="3"/>
      <c r="S246" s="4"/>
      <c r="T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3"/>
      <c r="P247" s="3"/>
      <c r="Q247" s="3"/>
      <c r="R247" s="3"/>
      <c r="S247" s="4"/>
      <c r="T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3"/>
      <c r="P248" s="3"/>
      <c r="Q248" s="3"/>
      <c r="R248" s="3"/>
      <c r="S248" s="4"/>
      <c r="T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3"/>
      <c r="P249" s="3"/>
      <c r="Q249" s="3"/>
      <c r="R249" s="3"/>
      <c r="S249" s="4"/>
      <c r="T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3"/>
      <c r="P250" s="3"/>
      <c r="Q250" s="3"/>
      <c r="R250" s="3"/>
      <c r="S250" s="4"/>
      <c r="T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3"/>
      <c r="P251" s="3"/>
      <c r="Q251" s="3"/>
      <c r="R251" s="3"/>
      <c r="S251" s="4"/>
      <c r="T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3"/>
      <c r="P252" s="3"/>
      <c r="Q252" s="3"/>
      <c r="R252" s="3"/>
      <c r="S252" s="4"/>
      <c r="T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3"/>
      <c r="P253" s="3"/>
      <c r="Q253" s="3"/>
      <c r="R253" s="3"/>
      <c r="S253" s="4"/>
      <c r="T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3"/>
      <c r="P254" s="3"/>
      <c r="Q254" s="3"/>
      <c r="R254" s="3"/>
      <c r="S254" s="4"/>
      <c r="T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3"/>
      <c r="P255" s="3"/>
      <c r="Q255" s="3"/>
      <c r="R255" s="3"/>
      <c r="S255" s="4"/>
      <c r="T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3"/>
      <c r="P256" s="3"/>
      <c r="Q256" s="3"/>
      <c r="R256" s="3"/>
      <c r="S256" s="4"/>
      <c r="T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3"/>
      <c r="P257" s="3"/>
      <c r="Q257" s="3"/>
      <c r="R257" s="3"/>
      <c r="S257" s="4"/>
      <c r="T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3"/>
      <c r="P258" s="3"/>
      <c r="Q258" s="3"/>
      <c r="R258" s="3"/>
      <c r="S258" s="4"/>
      <c r="T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3"/>
      <c r="P259" s="3"/>
      <c r="Q259" s="3"/>
      <c r="R259" s="3"/>
      <c r="S259" s="4"/>
      <c r="T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3"/>
      <c r="P260" s="3"/>
      <c r="Q260" s="3"/>
      <c r="R260" s="3"/>
      <c r="S260" s="4"/>
      <c r="T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3"/>
      <c r="P261" s="3"/>
      <c r="Q261" s="3"/>
      <c r="R261" s="3"/>
      <c r="S261" s="4"/>
      <c r="T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3"/>
      <c r="P262" s="3"/>
      <c r="Q262" s="3"/>
      <c r="R262" s="3"/>
      <c r="S262" s="4"/>
      <c r="T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3"/>
      <c r="P263" s="3"/>
      <c r="Q263" s="3"/>
      <c r="R263" s="3"/>
      <c r="S263" s="4"/>
      <c r="T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3"/>
      <c r="P264" s="3"/>
      <c r="Q264" s="3"/>
      <c r="R264" s="3"/>
      <c r="S264" s="4"/>
      <c r="T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3"/>
      <c r="P265" s="3"/>
      <c r="Q265" s="3"/>
      <c r="R265" s="3"/>
      <c r="S265" s="4"/>
      <c r="T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3"/>
      <c r="P266" s="3"/>
      <c r="Q266" s="3"/>
      <c r="R266" s="3"/>
      <c r="S266" s="4"/>
      <c r="T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3"/>
      <c r="P267" s="3"/>
      <c r="Q267" s="3"/>
      <c r="R267" s="3"/>
      <c r="S267" s="4"/>
      <c r="T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3"/>
      <c r="P268" s="3"/>
      <c r="Q268" s="3"/>
      <c r="R268" s="3"/>
      <c r="S268" s="4"/>
      <c r="T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3"/>
      <c r="P269" s="3"/>
      <c r="Q269" s="3"/>
      <c r="R269" s="3"/>
      <c r="S269" s="4"/>
      <c r="T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3"/>
      <c r="P270" s="3"/>
      <c r="Q270" s="3"/>
      <c r="R270" s="3"/>
      <c r="S270" s="4"/>
      <c r="T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3"/>
      <c r="P271" s="3"/>
      <c r="Q271" s="3"/>
      <c r="R271" s="3"/>
      <c r="S271" s="4"/>
      <c r="T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3"/>
      <c r="P272" s="3"/>
      <c r="Q272" s="3"/>
      <c r="R272" s="3"/>
      <c r="S272" s="4"/>
      <c r="T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3"/>
      <c r="P273" s="3"/>
      <c r="Q273" s="3"/>
      <c r="R273" s="3"/>
      <c r="S273" s="4"/>
      <c r="T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3"/>
      <c r="P274" s="3"/>
      <c r="Q274" s="3"/>
      <c r="R274" s="3"/>
      <c r="S274" s="4"/>
      <c r="T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3"/>
      <c r="P275" s="3"/>
      <c r="Q275" s="3"/>
      <c r="R275" s="3"/>
      <c r="S275" s="4"/>
      <c r="T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3"/>
      <c r="P276" s="3"/>
      <c r="Q276" s="3"/>
      <c r="R276" s="3"/>
      <c r="S276" s="4"/>
      <c r="T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3"/>
      <c r="P277" s="3"/>
      <c r="Q277" s="3"/>
      <c r="R277" s="3"/>
      <c r="S277" s="4"/>
      <c r="T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3"/>
      <c r="P278" s="3"/>
      <c r="Q278" s="3"/>
      <c r="R278" s="3"/>
      <c r="S278" s="4"/>
      <c r="T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3"/>
      <c r="P279" s="3"/>
      <c r="Q279" s="3"/>
      <c r="R279" s="3"/>
      <c r="S279" s="4"/>
      <c r="T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3"/>
      <c r="P280" s="3"/>
      <c r="Q280" s="3"/>
      <c r="R280" s="3"/>
      <c r="S280" s="4"/>
      <c r="T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3"/>
      <c r="P281" s="3"/>
      <c r="Q281" s="3"/>
      <c r="R281" s="3"/>
      <c r="S281" s="4"/>
      <c r="T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3"/>
      <c r="P282" s="3"/>
      <c r="Q282" s="3"/>
      <c r="R282" s="3"/>
      <c r="S282" s="4"/>
      <c r="T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3"/>
      <c r="P283" s="3"/>
      <c r="Q283" s="3"/>
      <c r="R283" s="3"/>
      <c r="S283" s="4"/>
      <c r="T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3"/>
      <c r="P284" s="3"/>
      <c r="Q284" s="3"/>
      <c r="R284" s="3"/>
      <c r="S284" s="4"/>
      <c r="T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3"/>
      <c r="P285" s="3"/>
      <c r="Q285" s="3"/>
      <c r="R285" s="3"/>
      <c r="S285" s="4"/>
      <c r="T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3"/>
      <c r="P286" s="3"/>
      <c r="Q286" s="3"/>
      <c r="R286" s="3"/>
      <c r="S286" s="4"/>
      <c r="T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3"/>
      <c r="P287" s="3"/>
      <c r="Q287" s="3"/>
      <c r="R287" s="3"/>
      <c r="S287" s="4"/>
      <c r="T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3"/>
      <c r="P288" s="3"/>
      <c r="Q288" s="3"/>
      <c r="R288" s="3"/>
      <c r="S288" s="4"/>
      <c r="T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3"/>
      <c r="P289" s="3"/>
      <c r="Q289" s="3"/>
      <c r="R289" s="3"/>
      <c r="S289" s="4"/>
      <c r="T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3"/>
      <c r="P290" s="3"/>
      <c r="Q290" s="3"/>
      <c r="R290" s="3"/>
      <c r="S290" s="4"/>
      <c r="T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3"/>
      <c r="P291" s="3"/>
      <c r="Q291" s="3"/>
      <c r="R291" s="3"/>
      <c r="S291" s="4"/>
      <c r="T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3"/>
      <c r="P292" s="3"/>
      <c r="Q292" s="3"/>
      <c r="R292" s="3"/>
      <c r="S292" s="4"/>
      <c r="T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3"/>
      <c r="P293" s="3"/>
      <c r="Q293" s="3"/>
      <c r="R293" s="3"/>
      <c r="S293" s="4"/>
      <c r="T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3"/>
      <c r="P294" s="3"/>
      <c r="Q294" s="3"/>
      <c r="R294" s="3"/>
      <c r="S294" s="4"/>
      <c r="T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3"/>
      <c r="P295" s="3"/>
      <c r="Q295" s="3"/>
      <c r="R295" s="3"/>
      <c r="S295" s="4"/>
      <c r="T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3"/>
      <c r="P296" s="3"/>
      <c r="Q296" s="3"/>
      <c r="R296" s="3"/>
      <c r="S296" s="4"/>
      <c r="T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3"/>
      <c r="P297" s="3"/>
      <c r="Q297" s="3"/>
      <c r="R297" s="3"/>
      <c r="S297" s="4"/>
      <c r="T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3"/>
      <c r="P298" s="3"/>
      <c r="Q298" s="3"/>
      <c r="R298" s="3"/>
      <c r="S298" s="4"/>
      <c r="T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3"/>
      <c r="P299" s="3"/>
      <c r="Q299" s="3"/>
      <c r="R299" s="3"/>
      <c r="S299" s="4"/>
      <c r="T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3"/>
      <c r="P300" s="3"/>
      <c r="Q300" s="3"/>
      <c r="R300" s="3"/>
      <c r="S300" s="4"/>
      <c r="T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3"/>
      <c r="P301" s="3"/>
      <c r="Q301" s="3"/>
      <c r="R301" s="3"/>
      <c r="S301" s="4"/>
      <c r="T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3"/>
      <c r="P302" s="3"/>
      <c r="Q302" s="3"/>
      <c r="R302" s="3"/>
      <c r="S302" s="4"/>
      <c r="T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3"/>
      <c r="P303" s="3"/>
      <c r="Q303" s="3"/>
      <c r="R303" s="3"/>
      <c r="S303" s="4"/>
      <c r="T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3"/>
      <c r="P304" s="3"/>
      <c r="Q304" s="3"/>
      <c r="R304" s="3"/>
      <c r="S304" s="4"/>
      <c r="T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3"/>
      <c r="P305" s="3"/>
      <c r="Q305" s="3"/>
      <c r="R305" s="3"/>
      <c r="S305" s="4"/>
      <c r="T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3"/>
      <c r="P306" s="3"/>
      <c r="Q306" s="3"/>
      <c r="R306" s="3"/>
      <c r="S306" s="4"/>
      <c r="T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3"/>
      <c r="P307" s="3"/>
      <c r="Q307" s="3"/>
      <c r="R307" s="3"/>
      <c r="S307" s="4"/>
      <c r="T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3"/>
      <c r="P308" s="3"/>
      <c r="Q308" s="3"/>
      <c r="R308" s="3"/>
      <c r="S308" s="4"/>
      <c r="T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3"/>
      <c r="P309" s="3"/>
      <c r="Q309" s="3"/>
      <c r="R309" s="3"/>
      <c r="S309" s="4"/>
      <c r="T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3"/>
      <c r="P310" s="3"/>
      <c r="Q310" s="3"/>
      <c r="R310" s="3"/>
      <c r="S310" s="4"/>
      <c r="T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3"/>
      <c r="P311" s="3"/>
      <c r="Q311" s="3"/>
      <c r="R311" s="3"/>
      <c r="S311" s="4"/>
      <c r="T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3"/>
      <c r="P312" s="3"/>
      <c r="Q312" s="3"/>
      <c r="R312" s="3"/>
      <c r="S312" s="4"/>
      <c r="T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3"/>
      <c r="P313" s="3"/>
      <c r="Q313" s="3"/>
      <c r="R313" s="3"/>
      <c r="S313" s="4"/>
      <c r="T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3"/>
      <c r="P314" s="3"/>
      <c r="Q314" s="3"/>
      <c r="R314" s="3"/>
      <c r="S314" s="4"/>
      <c r="T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3"/>
      <c r="P315" s="3"/>
      <c r="Q315" s="3"/>
      <c r="R315" s="3"/>
      <c r="S315" s="4"/>
      <c r="T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3"/>
      <c r="P316" s="3"/>
      <c r="Q316" s="3"/>
      <c r="R316" s="3"/>
      <c r="S316" s="4"/>
      <c r="T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3"/>
      <c r="P317" s="3"/>
      <c r="Q317" s="3"/>
      <c r="R317" s="3"/>
      <c r="S317" s="4"/>
      <c r="T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3"/>
      <c r="P318" s="3"/>
      <c r="Q318" s="3"/>
      <c r="R318" s="3"/>
      <c r="S318" s="4"/>
      <c r="T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3"/>
      <c r="P319" s="3"/>
      <c r="Q319" s="3"/>
      <c r="R319" s="3"/>
      <c r="S319" s="4"/>
      <c r="T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3"/>
      <c r="P320" s="3"/>
      <c r="Q320" s="3"/>
      <c r="R320" s="3"/>
      <c r="S320" s="4"/>
      <c r="T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3"/>
      <c r="P321" s="3"/>
      <c r="Q321" s="3"/>
      <c r="R321" s="3"/>
      <c r="S321" s="4"/>
      <c r="T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3"/>
      <c r="P322" s="3"/>
      <c r="Q322" s="3"/>
      <c r="R322" s="3"/>
      <c r="S322" s="4"/>
      <c r="T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3"/>
      <c r="P323" s="3"/>
      <c r="Q323" s="3"/>
      <c r="R323" s="3"/>
      <c r="S323" s="4"/>
      <c r="T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3"/>
      <c r="P324" s="3"/>
      <c r="Q324" s="3"/>
      <c r="R324" s="3"/>
      <c r="S324" s="4"/>
      <c r="T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3"/>
      <c r="P325" s="3"/>
      <c r="Q325" s="3"/>
      <c r="R325" s="3"/>
      <c r="S325" s="4"/>
      <c r="T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3"/>
      <c r="P326" s="3"/>
      <c r="Q326" s="3"/>
      <c r="R326" s="3"/>
      <c r="S326" s="4"/>
      <c r="T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3"/>
      <c r="P327" s="3"/>
      <c r="Q327" s="3"/>
      <c r="R327" s="3"/>
      <c r="S327" s="4"/>
      <c r="T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3"/>
      <c r="P328" s="3"/>
      <c r="Q328" s="3"/>
      <c r="R328" s="3"/>
      <c r="S328" s="4"/>
      <c r="T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3"/>
      <c r="P329" s="3"/>
      <c r="Q329" s="3"/>
      <c r="R329" s="3"/>
      <c r="S329" s="4"/>
      <c r="T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3"/>
      <c r="P330" s="3"/>
      <c r="Q330" s="3"/>
      <c r="R330" s="3"/>
      <c r="S330" s="4"/>
      <c r="T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3"/>
      <c r="P331" s="3"/>
      <c r="Q331" s="3"/>
      <c r="R331" s="3"/>
      <c r="S331" s="4"/>
      <c r="T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3"/>
      <c r="P332" s="3"/>
      <c r="Q332" s="3"/>
      <c r="R332" s="3"/>
      <c r="S332" s="4"/>
      <c r="T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3"/>
      <c r="P333" s="3"/>
      <c r="Q333" s="3"/>
      <c r="R333" s="3"/>
      <c r="S333" s="4"/>
      <c r="T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3"/>
      <c r="P334" s="3"/>
      <c r="Q334" s="3"/>
      <c r="R334" s="3"/>
      <c r="S334" s="4"/>
      <c r="T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3"/>
      <c r="P335" s="3"/>
      <c r="Q335" s="3"/>
      <c r="R335" s="3"/>
      <c r="S335" s="4"/>
      <c r="T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3"/>
      <c r="P336" s="3"/>
      <c r="Q336" s="3"/>
      <c r="R336" s="3"/>
      <c r="S336" s="4"/>
      <c r="T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3"/>
      <c r="P337" s="3"/>
      <c r="Q337" s="3"/>
      <c r="R337" s="3"/>
      <c r="S337" s="4"/>
      <c r="T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3"/>
      <c r="P338" s="3"/>
      <c r="Q338" s="3"/>
      <c r="R338" s="3"/>
      <c r="S338" s="4"/>
      <c r="T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3"/>
      <c r="P339" s="3"/>
      <c r="Q339" s="3"/>
      <c r="R339" s="3"/>
      <c r="S339" s="4"/>
      <c r="T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3"/>
      <c r="P340" s="3"/>
      <c r="Q340" s="3"/>
      <c r="R340" s="3"/>
      <c r="S340" s="4"/>
      <c r="T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3"/>
      <c r="P341" s="3"/>
      <c r="Q341" s="3"/>
      <c r="R341" s="3"/>
      <c r="S341" s="4"/>
      <c r="T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3"/>
      <c r="P342" s="3"/>
      <c r="Q342" s="3"/>
      <c r="R342" s="3"/>
      <c r="S342" s="4"/>
      <c r="T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3"/>
      <c r="P343" s="3"/>
      <c r="Q343" s="3"/>
      <c r="R343" s="3"/>
      <c r="S343" s="4"/>
      <c r="T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3"/>
      <c r="P344" s="3"/>
      <c r="Q344" s="3"/>
      <c r="R344" s="3"/>
      <c r="S344" s="4"/>
      <c r="T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3"/>
      <c r="P345" s="3"/>
      <c r="Q345" s="3"/>
      <c r="R345" s="3"/>
      <c r="S345" s="4"/>
      <c r="T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3"/>
      <c r="P346" s="3"/>
      <c r="Q346" s="3"/>
      <c r="R346" s="3"/>
      <c r="S346" s="4"/>
      <c r="T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3"/>
      <c r="P347" s="3"/>
      <c r="Q347" s="3"/>
      <c r="R347" s="3"/>
      <c r="S347" s="4"/>
      <c r="T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3"/>
      <c r="P348" s="3"/>
      <c r="Q348" s="3"/>
      <c r="R348" s="3"/>
      <c r="S348" s="4"/>
      <c r="T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3"/>
      <c r="P349" s="3"/>
      <c r="Q349" s="3"/>
      <c r="R349" s="3"/>
      <c r="S349" s="4"/>
      <c r="T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3"/>
      <c r="P350" s="3"/>
      <c r="Q350" s="3"/>
      <c r="R350" s="3"/>
      <c r="S350" s="4"/>
      <c r="T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3"/>
      <c r="P351" s="3"/>
      <c r="Q351" s="3"/>
      <c r="R351" s="3"/>
      <c r="S351" s="4"/>
      <c r="T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3"/>
      <c r="P352" s="3"/>
      <c r="Q352" s="3"/>
      <c r="R352" s="3"/>
      <c r="S352" s="4"/>
      <c r="T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3"/>
      <c r="P353" s="3"/>
      <c r="Q353" s="3"/>
      <c r="R353" s="3"/>
      <c r="S353" s="4"/>
      <c r="T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3"/>
      <c r="P354" s="3"/>
      <c r="Q354" s="3"/>
      <c r="R354" s="3"/>
      <c r="S354" s="4"/>
      <c r="T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3"/>
      <c r="P355" s="3"/>
      <c r="Q355" s="3"/>
      <c r="R355" s="3"/>
      <c r="S355" s="4"/>
      <c r="T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3"/>
      <c r="P356" s="3"/>
      <c r="Q356" s="3"/>
      <c r="R356" s="3"/>
      <c r="S356" s="4"/>
      <c r="T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3"/>
      <c r="P357" s="3"/>
      <c r="Q357" s="3"/>
      <c r="R357" s="3"/>
      <c r="S357" s="4"/>
      <c r="T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3"/>
      <c r="P358" s="3"/>
      <c r="Q358" s="3"/>
      <c r="R358" s="3"/>
      <c r="S358" s="4"/>
      <c r="T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3"/>
      <c r="P359" s="3"/>
      <c r="Q359" s="3"/>
      <c r="R359" s="3"/>
      <c r="S359" s="4"/>
      <c r="T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3"/>
      <c r="P360" s="3"/>
      <c r="Q360" s="3"/>
      <c r="R360" s="3"/>
      <c r="S360" s="4"/>
      <c r="T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3"/>
      <c r="P361" s="3"/>
      <c r="Q361" s="3"/>
      <c r="R361" s="3"/>
      <c r="S361" s="4"/>
      <c r="T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3"/>
      <c r="P362" s="3"/>
      <c r="Q362" s="3"/>
      <c r="R362" s="3"/>
      <c r="S362" s="4"/>
      <c r="T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3"/>
      <c r="P363" s="3"/>
      <c r="Q363" s="3"/>
      <c r="R363" s="3"/>
      <c r="S363" s="4"/>
      <c r="T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3"/>
      <c r="P364" s="3"/>
      <c r="Q364" s="3"/>
      <c r="R364" s="3"/>
      <c r="S364" s="4"/>
      <c r="T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3"/>
      <c r="P365" s="3"/>
      <c r="Q365" s="3"/>
      <c r="R365" s="3"/>
      <c r="S365" s="4"/>
      <c r="T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3"/>
      <c r="P366" s="3"/>
      <c r="Q366" s="3"/>
      <c r="R366" s="3"/>
      <c r="S366" s="4"/>
      <c r="T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3"/>
      <c r="P367" s="3"/>
      <c r="Q367" s="3"/>
      <c r="R367" s="3"/>
      <c r="S367" s="4"/>
      <c r="T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3"/>
      <c r="P368" s="3"/>
      <c r="Q368" s="3"/>
      <c r="R368" s="3"/>
      <c r="S368" s="4"/>
      <c r="T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3"/>
      <c r="P369" s="3"/>
      <c r="Q369" s="3"/>
      <c r="R369" s="3"/>
      <c r="S369" s="4"/>
      <c r="T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3"/>
      <c r="P370" s="3"/>
      <c r="Q370" s="3"/>
      <c r="R370" s="3"/>
      <c r="S370" s="4"/>
      <c r="T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3"/>
      <c r="P371" s="3"/>
      <c r="Q371" s="3"/>
      <c r="R371" s="3"/>
      <c r="S371" s="4"/>
      <c r="T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3"/>
      <c r="P372" s="3"/>
      <c r="Q372" s="3"/>
      <c r="R372" s="3"/>
      <c r="S372" s="4"/>
      <c r="T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3"/>
      <c r="P373" s="3"/>
      <c r="Q373" s="3"/>
      <c r="R373" s="3"/>
      <c r="S373" s="4"/>
      <c r="T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3"/>
      <c r="P374" s="3"/>
      <c r="Q374" s="3"/>
      <c r="R374" s="3"/>
      <c r="S374" s="4"/>
      <c r="T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3"/>
      <c r="P375" s="3"/>
      <c r="Q375" s="3"/>
      <c r="R375" s="3"/>
      <c r="S375" s="4"/>
      <c r="T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3"/>
      <c r="P376" s="3"/>
      <c r="Q376" s="3"/>
      <c r="R376" s="3"/>
      <c r="S376" s="4"/>
      <c r="T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3"/>
      <c r="P377" s="3"/>
      <c r="Q377" s="3"/>
      <c r="R377" s="3"/>
      <c r="S377" s="4"/>
      <c r="T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3"/>
      <c r="P378" s="3"/>
      <c r="Q378" s="3"/>
      <c r="R378" s="3"/>
      <c r="S378" s="4"/>
      <c r="T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3"/>
      <c r="P379" s="3"/>
      <c r="Q379" s="3"/>
      <c r="R379" s="3"/>
      <c r="S379" s="4"/>
      <c r="T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3"/>
      <c r="P380" s="3"/>
      <c r="Q380" s="3"/>
      <c r="R380" s="3"/>
      <c r="S380" s="4"/>
      <c r="T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3"/>
      <c r="P381" s="3"/>
      <c r="Q381" s="3"/>
      <c r="R381" s="3"/>
      <c r="S381" s="4"/>
      <c r="T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3"/>
      <c r="P382" s="3"/>
      <c r="Q382" s="3"/>
      <c r="R382" s="3"/>
      <c r="S382" s="4"/>
      <c r="T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3"/>
      <c r="P383" s="3"/>
      <c r="Q383" s="3"/>
      <c r="R383" s="3"/>
      <c r="S383" s="4"/>
      <c r="T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3"/>
      <c r="P384" s="3"/>
      <c r="Q384" s="3"/>
      <c r="R384" s="3"/>
      <c r="S384" s="4"/>
      <c r="T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3"/>
      <c r="P385" s="3"/>
      <c r="Q385" s="3"/>
      <c r="R385" s="3"/>
      <c r="S385" s="4"/>
      <c r="T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3"/>
      <c r="P386" s="3"/>
      <c r="Q386" s="3"/>
      <c r="R386" s="3"/>
      <c r="S386" s="4"/>
      <c r="T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3"/>
      <c r="P387" s="3"/>
      <c r="Q387" s="3"/>
      <c r="R387" s="3"/>
      <c r="S387" s="4"/>
      <c r="T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3"/>
      <c r="P388" s="3"/>
      <c r="Q388" s="3"/>
      <c r="R388" s="3"/>
      <c r="S388" s="4"/>
      <c r="T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3"/>
      <c r="P389" s="3"/>
      <c r="Q389" s="3"/>
      <c r="R389" s="3"/>
      <c r="S389" s="4"/>
      <c r="T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3"/>
      <c r="P390" s="3"/>
      <c r="Q390" s="3"/>
      <c r="R390" s="3"/>
      <c r="S390" s="4"/>
      <c r="T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3"/>
      <c r="P391" s="3"/>
      <c r="Q391" s="3"/>
      <c r="R391" s="3"/>
      <c r="S391" s="4"/>
      <c r="T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3"/>
      <c r="P392" s="3"/>
      <c r="Q392" s="3"/>
      <c r="R392" s="3"/>
      <c r="S392" s="4"/>
      <c r="T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3"/>
      <c r="P393" s="3"/>
      <c r="Q393" s="3"/>
      <c r="R393" s="3"/>
      <c r="S393" s="4"/>
      <c r="T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3"/>
      <c r="P394" s="3"/>
      <c r="Q394" s="3"/>
      <c r="R394" s="3"/>
      <c r="S394" s="4"/>
      <c r="T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3"/>
      <c r="P395" s="3"/>
      <c r="Q395" s="3"/>
      <c r="R395" s="3"/>
      <c r="S395" s="4"/>
      <c r="T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3"/>
      <c r="P396" s="3"/>
      <c r="Q396" s="3"/>
      <c r="R396" s="3"/>
      <c r="S396" s="4"/>
      <c r="T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3"/>
      <c r="P397" s="3"/>
      <c r="Q397" s="3"/>
      <c r="R397" s="3"/>
      <c r="S397" s="4"/>
      <c r="T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3"/>
      <c r="P398" s="3"/>
      <c r="Q398" s="3"/>
      <c r="R398" s="3"/>
      <c r="S398" s="4"/>
      <c r="T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3"/>
      <c r="P399" s="3"/>
      <c r="Q399" s="3"/>
      <c r="R399" s="3"/>
      <c r="S399" s="4"/>
      <c r="T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3"/>
      <c r="P400" s="3"/>
      <c r="Q400" s="3"/>
      <c r="R400" s="3"/>
      <c r="S400" s="4"/>
      <c r="T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3"/>
      <c r="P401" s="3"/>
      <c r="Q401" s="3"/>
      <c r="R401" s="3"/>
      <c r="S401" s="4"/>
      <c r="T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3"/>
      <c r="P402" s="3"/>
      <c r="Q402" s="3"/>
      <c r="R402" s="3"/>
      <c r="S402" s="4"/>
      <c r="T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3"/>
      <c r="P403" s="3"/>
      <c r="Q403" s="3"/>
      <c r="R403" s="3"/>
      <c r="S403" s="4"/>
      <c r="T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3"/>
      <c r="P404" s="3"/>
      <c r="Q404" s="3"/>
      <c r="R404" s="3"/>
      <c r="S404" s="4"/>
      <c r="T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3"/>
      <c r="P405" s="3"/>
      <c r="Q405" s="3"/>
      <c r="R405" s="3"/>
      <c r="S405" s="4"/>
      <c r="T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3"/>
      <c r="P406" s="3"/>
      <c r="Q406" s="3"/>
      <c r="R406" s="3"/>
      <c r="S406" s="4"/>
      <c r="T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3"/>
      <c r="P407" s="3"/>
      <c r="Q407" s="3"/>
      <c r="R407" s="3"/>
      <c r="S407" s="4"/>
      <c r="T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3"/>
      <c r="P408" s="3"/>
      <c r="Q408" s="3"/>
      <c r="R408" s="3"/>
      <c r="S408" s="4"/>
      <c r="T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3"/>
      <c r="P409" s="3"/>
      <c r="Q409" s="3"/>
      <c r="R409" s="3"/>
      <c r="S409" s="4"/>
      <c r="T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3"/>
      <c r="P410" s="3"/>
      <c r="Q410" s="3"/>
      <c r="R410" s="3"/>
      <c r="S410" s="4"/>
      <c r="T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3"/>
      <c r="P411" s="3"/>
      <c r="Q411" s="3"/>
      <c r="R411" s="3"/>
      <c r="S411" s="4"/>
      <c r="T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3"/>
      <c r="P412" s="3"/>
      <c r="Q412" s="3"/>
      <c r="R412" s="3"/>
      <c r="S412" s="4"/>
      <c r="T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3"/>
      <c r="P413" s="3"/>
      <c r="Q413" s="3"/>
      <c r="R413" s="3"/>
      <c r="S413" s="4"/>
      <c r="T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3"/>
      <c r="P414" s="3"/>
      <c r="Q414" s="3"/>
      <c r="R414" s="3"/>
      <c r="S414" s="4"/>
      <c r="T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3"/>
      <c r="P415" s="3"/>
      <c r="Q415" s="3"/>
      <c r="R415" s="3"/>
      <c r="S415" s="4"/>
      <c r="T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3"/>
      <c r="P416" s="3"/>
      <c r="Q416" s="3"/>
      <c r="R416" s="3"/>
      <c r="S416" s="4"/>
      <c r="T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3"/>
      <c r="P417" s="3"/>
      <c r="Q417" s="3"/>
      <c r="R417" s="3"/>
      <c r="S417" s="4"/>
      <c r="T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3"/>
      <c r="P418" s="3"/>
      <c r="Q418" s="3"/>
      <c r="R418" s="3"/>
      <c r="S418" s="4"/>
      <c r="T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3"/>
      <c r="P419" s="3"/>
      <c r="Q419" s="3"/>
      <c r="R419" s="3"/>
      <c r="S419" s="4"/>
      <c r="T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3"/>
      <c r="P420" s="3"/>
      <c r="Q420" s="3"/>
      <c r="R420" s="3"/>
      <c r="S420" s="4"/>
      <c r="T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3"/>
      <c r="P421" s="3"/>
      <c r="Q421" s="3"/>
      <c r="R421" s="3"/>
      <c r="S421" s="4"/>
      <c r="T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3"/>
      <c r="P422" s="3"/>
      <c r="Q422" s="3"/>
      <c r="R422" s="3"/>
      <c r="S422" s="4"/>
      <c r="T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3"/>
      <c r="P423" s="3"/>
      <c r="Q423" s="3"/>
      <c r="R423" s="3"/>
      <c r="S423" s="4"/>
      <c r="T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3"/>
      <c r="P424" s="3"/>
      <c r="Q424" s="3"/>
      <c r="R424" s="3"/>
      <c r="S424" s="4"/>
      <c r="T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3"/>
      <c r="P425" s="3"/>
      <c r="Q425" s="3"/>
      <c r="R425" s="3"/>
      <c r="S425" s="4"/>
      <c r="T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3"/>
      <c r="P426" s="3"/>
      <c r="Q426" s="3"/>
      <c r="R426" s="3"/>
      <c r="S426" s="4"/>
      <c r="T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3"/>
      <c r="P427" s="3"/>
      <c r="Q427" s="3"/>
      <c r="R427" s="3"/>
      <c r="S427" s="4"/>
      <c r="T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3"/>
      <c r="P428" s="3"/>
      <c r="Q428" s="3"/>
      <c r="R428" s="3"/>
      <c r="S428" s="4"/>
      <c r="T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3"/>
      <c r="P429" s="3"/>
      <c r="Q429" s="3"/>
      <c r="R429" s="3"/>
      <c r="S429" s="4"/>
      <c r="T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3"/>
      <c r="P430" s="3"/>
      <c r="Q430" s="3"/>
      <c r="R430" s="3"/>
      <c r="S430" s="4"/>
      <c r="T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3"/>
      <c r="P431" s="3"/>
      <c r="Q431" s="3"/>
      <c r="R431" s="3"/>
      <c r="S431" s="4"/>
      <c r="T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3"/>
      <c r="P432" s="3"/>
      <c r="Q432" s="3"/>
      <c r="R432" s="3"/>
      <c r="S432" s="4"/>
      <c r="T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3"/>
      <c r="P433" s="3"/>
      <c r="Q433" s="3"/>
      <c r="R433" s="3"/>
      <c r="S433" s="4"/>
      <c r="T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3"/>
      <c r="P434" s="3"/>
      <c r="Q434" s="3"/>
      <c r="R434" s="3"/>
      <c r="S434" s="4"/>
      <c r="T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3"/>
      <c r="P435" s="3"/>
      <c r="Q435" s="3"/>
      <c r="R435" s="3"/>
      <c r="S435" s="4"/>
      <c r="T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3"/>
      <c r="P436" s="3"/>
      <c r="Q436" s="3"/>
      <c r="R436" s="3"/>
      <c r="S436" s="4"/>
      <c r="T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3"/>
      <c r="P437" s="3"/>
      <c r="Q437" s="3"/>
      <c r="R437" s="3"/>
      <c r="S437" s="4"/>
      <c r="T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3"/>
      <c r="P438" s="3"/>
      <c r="Q438" s="3"/>
      <c r="R438" s="3"/>
      <c r="S438" s="4"/>
      <c r="T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3"/>
      <c r="P439" s="3"/>
      <c r="Q439" s="3"/>
      <c r="R439" s="3"/>
      <c r="S439" s="4"/>
      <c r="T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3"/>
      <c r="P440" s="3"/>
      <c r="Q440" s="3"/>
      <c r="R440" s="3"/>
      <c r="S440" s="4"/>
      <c r="T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3"/>
      <c r="P441" s="3"/>
      <c r="Q441" s="3"/>
      <c r="R441" s="3"/>
      <c r="S441" s="4"/>
      <c r="T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3"/>
      <c r="P442" s="3"/>
      <c r="Q442" s="3"/>
      <c r="R442" s="3"/>
      <c r="S442" s="4"/>
      <c r="T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3"/>
      <c r="P443" s="3"/>
      <c r="Q443" s="3"/>
      <c r="R443" s="3"/>
      <c r="S443" s="4"/>
      <c r="T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3"/>
      <c r="P444" s="3"/>
      <c r="Q444" s="3"/>
      <c r="R444" s="3"/>
      <c r="S444" s="4"/>
      <c r="T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3"/>
      <c r="P445" s="3"/>
      <c r="Q445" s="3"/>
      <c r="R445" s="3"/>
      <c r="S445" s="4"/>
      <c r="T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3"/>
      <c r="P446" s="3"/>
      <c r="Q446" s="3"/>
      <c r="R446" s="3"/>
      <c r="S446" s="4"/>
      <c r="T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3"/>
      <c r="P447" s="3"/>
      <c r="Q447" s="3"/>
      <c r="R447" s="3"/>
      <c r="S447" s="4"/>
      <c r="T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3"/>
      <c r="P448" s="3"/>
      <c r="Q448" s="3"/>
      <c r="R448" s="3"/>
      <c r="S448" s="4"/>
      <c r="T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3"/>
      <c r="P449" s="3"/>
      <c r="Q449" s="3"/>
      <c r="R449" s="3"/>
      <c r="S449" s="4"/>
      <c r="T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3"/>
      <c r="P450" s="3"/>
      <c r="Q450" s="3"/>
      <c r="R450" s="3"/>
      <c r="S450" s="4"/>
      <c r="T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3"/>
      <c r="P451" s="3"/>
      <c r="Q451" s="3"/>
      <c r="R451" s="3"/>
      <c r="S451" s="4"/>
      <c r="T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3"/>
      <c r="P452" s="3"/>
      <c r="Q452" s="3"/>
      <c r="R452" s="3"/>
      <c r="S452" s="4"/>
      <c r="T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3"/>
      <c r="P453" s="3"/>
      <c r="Q453" s="3"/>
      <c r="R453" s="3"/>
      <c r="S453" s="4"/>
      <c r="T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3"/>
      <c r="P454" s="3"/>
      <c r="Q454" s="3"/>
      <c r="R454" s="3"/>
      <c r="S454" s="4"/>
      <c r="T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3"/>
      <c r="P455" s="3"/>
      <c r="Q455" s="3"/>
      <c r="R455" s="3"/>
      <c r="S455" s="4"/>
      <c r="T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3"/>
      <c r="P456" s="3"/>
      <c r="Q456" s="3"/>
      <c r="R456" s="3"/>
      <c r="S456" s="4"/>
      <c r="T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3"/>
      <c r="P457" s="3"/>
      <c r="Q457" s="3"/>
      <c r="R457" s="3"/>
      <c r="S457" s="4"/>
      <c r="T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3"/>
      <c r="P458" s="3"/>
      <c r="Q458" s="3"/>
      <c r="R458" s="3"/>
      <c r="S458" s="4"/>
      <c r="T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3"/>
      <c r="P459" s="3"/>
      <c r="Q459" s="3"/>
      <c r="R459" s="3"/>
      <c r="S459" s="4"/>
      <c r="T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3"/>
      <c r="P460" s="3"/>
      <c r="Q460" s="3"/>
      <c r="R460" s="3"/>
      <c r="S460" s="4"/>
      <c r="T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3"/>
      <c r="P461" s="3"/>
      <c r="Q461" s="3"/>
      <c r="R461" s="3"/>
      <c r="S461" s="4"/>
      <c r="T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3"/>
      <c r="P462" s="3"/>
      <c r="Q462" s="3"/>
      <c r="R462" s="3"/>
      <c r="S462" s="4"/>
      <c r="T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3"/>
      <c r="P463" s="3"/>
      <c r="Q463" s="3"/>
      <c r="R463" s="3"/>
      <c r="S463" s="4"/>
      <c r="T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3"/>
      <c r="P464" s="3"/>
      <c r="Q464" s="3"/>
      <c r="R464" s="3"/>
      <c r="S464" s="4"/>
      <c r="T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3"/>
      <c r="P465" s="3"/>
      <c r="Q465" s="3"/>
      <c r="R465" s="3"/>
      <c r="S465" s="4"/>
      <c r="T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3"/>
      <c r="P466" s="3"/>
      <c r="Q466" s="3"/>
      <c r="R466" s="3"/>
      <c r="S466" s="4"/>
      <c r="T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3"/>
      <c r="P467" s="3"/>
      <c r="Q467" s="3"/>
      <c r="R467" s="3"/>
      <c r="S467" s="4"/>
      <c r="T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3"/>
      <c r="P468" s="3"/>
      <c r="Q468" s="3"/>
      <c r="R468" s="3"/>
      <c r="S468" s="4"/>
      <c r="T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3"/>
      <c r="P469" s="3"/>
      <c r="Q469" s="3"/>
      <c r="R469" s="3"/>
      <c r="S469" s="4"/>
      <c r="T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3"/>
      <c r="P470" s="3"/>
      <c r="Q470" s="3"/>
      <c r="R470" s="3"/>
      <c r="S470" s="4"/>
      <c r="T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3"/>
      <c r="P471" s="3"/>
      <c r="Q471" s="3"/>
      <c r="R471" s="3"/>
      <c r="S471" s="4"/>
      <c r="T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3"/>
      <c r="P472" s="3"/>
      <c r="Q472" s="3"/>
      <c r="R472" s="3"/>
      <c r="S472" s="4"/>
      <c r="T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3"/>
      <c r="P473" s="3"/>
      <c r="Q473" s="3"/>
      <c r="R473" s="3"/>
      <c r="S473" s="4"/>
      <c r="T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3"/>
      <c r="P474" s="3"/>
      <c r="Q474" s="3"/>
      <c r="R474" s="3"/>
      <c r="S474" s="4"/>
      <c r="T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3"/>
      <c r="P475" s="3"/>
      <c r="Q475" s="3"/>
      <c r="R475" s="3"/>
      <c r="S475" s="4"/>
      <c r="T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3"/>
      <c r="P476" s="3"/>
      <c r="Q476" s="3"/>
      <c r="R476" s="3"/>
      <c r="S476" s="4"/>
      <c r="T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3"/>
      <c r="P477" s="3"/>
      <c r="Q477" s="3"/>
      <c r="R477" s="3"/>
      <c r="S477" s="4"/>
      <c r="T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3"/>
      <c r="P478" s="3"/>
      <c r="Q478" s="3"/>
      <c r="R478" s="3"/>
      <c r="S478" s="4"/>
      <c r="T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3"/>
      <c r="P479" s="3"/>
      <c r="Q479" s="3"/>
      <c r="R479" s="3"/>
      <c r="S479" s="4"/>
      <c r="T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3"/>
      <c r="P480" s="3"/>
      <c r="Q480" s="3"/>
      <c r="R480" s="3"/>
      <c r="S480" s="4"/>
      <c r="T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3"/>
      <c r="P481" s="3"/>
      <c r="Q481" s="3"/>
      <c r="R481" s="3"/>
      <c r="S481" s="4"/>
      <c r="T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3"/>
      <c r="P482" s="3"/>
      <c r="Q482" s="3"/>
      <c r="R482" s="3"/>
      <c r="S482" s="4"/>
      <c r="T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3"/>
      <c r="P483" s="3"/>
      <c r="Q483" s="3"/>
      <c r="R483" s="3"/>
      <c r="S483" s="4"/>
      <c r="T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3"/>
      <c r="P484" s="3"/>
      <c r="Q484" s="3"/>
      <c r="R484" s="3"/>
      <c r="S484" s="4"/>
      <c r="T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3"/>
      <c r="P485" s="3"/>
      <c r="Q485" s="3"/>
      <c r="R485" s="3"/>
      <c r="S485" s="4"/>
      <c r="T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3"/>
      <c r="P486" s="3"/>
      <c r="Q486" s="3"/>
      <c r="R486" s="3"/>
      <c r="S486" s="4"/>
      <c r="T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3"/>
      <c r="P487" s="3"/>
      <c r="Q487" s="3"/>
      <c r="R487" s="3"/>
      <c r="S487" s="4"/>
      <c r="T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3"/>
      <c r="P488" s="3"/>
      <c r="Q488" s="3"/>
      <c r="R488" s="3"/>
      <c r="S488" s="4"/>
      <c r="T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3"/>
      <c r="P489" s="3"/>
      <c r="Q489" s="3"/>
      <c r="R489" s="3"/>
      <c r="S489" s="4"/>
      <c r="T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3"/>
      <c r="P490" s="3"/>
      <c r="Q490" s="3"/>
      <c r="R490" s="3"/>
      <c r="S490" s="4"/>
      <c r="T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3"/>
      <c r="P491" s="3"/>
      <c r="Q491" s="3"/>
      <c r="R491" s="3"/>
      <c r="S491" s="4"/>
      <c r="T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3"/>
      <c r="P492" s="3"/>
      <c r="Q492" s="3"/>
      <c r="R492" s="3"/>
      <c r="S492" s="4"/>
      <c r="T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3"/>
      <c r="P493" s="3"/>
      <c r="Q493" s="3"/>
      <c r="R493" s="3"/>
      <c r="S493" s="4"/>
      <c r="T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3"/>
      <c r="P494" s="3"/>
      <c r="Q494" s="3"/>
      <c r="R494" s="3"/>
      <c r="S494" s="4"/>
      <c r="T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3"/>
      <c r="P495" s="3"/>
      <c r="Q495" s="3"/>
      <c r="R495" s="3"/>
      <c r="S495" s="4"/>
      <c r="T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3"/>
      <c r="P496" s="3"/>
      <c r="Q496" s="3"/>
      <c r="R496" s="3"/>
      <c r="S496" s="4"/>
      <c r="T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3"/>
      <c r="P497" s="3"/>
      <c r="Q497" s="3"/>
      <c r="R497" s="3"/>
      <c r="S497" s="4"/>
      <c r="T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3"/>
      <c r="P498" s="3"/>
      <c r="Q498" s="3"/>
      <c r="R498" s="3"/>
      <c r="S498" s="4"/>
      <c r="T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3"/>
      <c r="P499" s="3"/>
      <c r="Q499" s="3"/>
      <c r="R499" s="3"/>
      <c r="S499" s="4"/>
      <c r="T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3"/>
      <c r="P500" s="3"/>
      <c r="Q500" s="3"/>
      <c r="R500" s="3"/>
      <c r="S500" s="4"/>
      <c r="T500" s="2"/>
    </row>
  </sheetData>
  <conditionalFormatting sqref="J2:J500">
    <cfRule type="cellIs" priority="2" operator="equal" aboveAverage="0" equalAverage="0" bottom="0" percent="0" rank="0" text="" dxfId="0">
      <formula>"Cold"</formula>
    </cfRule>
    <cfRule type="cellIs" priority="3" operator="equal" aboveAverage="0" equalAverage="0" bottom="0" percent="0" rank="0" text="" dxfId="1">
      <formula>"Sent v1"</formula>
    </cfRule>
    <cfRule type="cellIs" priority="4" operator="equal" aboveAverage="0" equalAverage="0" bottom="0" percent="0" rank="0" text="" dxfId="1">
      <formula>"Sent v2"</formula>
    </cfRule>
    <cfRule type="cellIs" priority="5" operator="equal" aboveAverage="0" equalAverage="0" bottom="0" percent="0" rank="0" text="" dxfId="1">
      <formula>"Sent v3"</formula>
    </cfRule>
    <cfRule type="cellIs" priority="6" operator="equal" aboveAverage="0" equalAverage="0" bottom="0" percent="0" rank="0" text="" dxfId="2">
      <formula>"Replied"</formula>
    </cfRule>
    <cfRule type="cellIs" priority="7" operator="equal" aboveAverage="0" equalAverage="0" bottom="0" percent="0" rank="0" text="" dxfId="2">
      <formula>"Demo booked"</formula>
    </cfRule>
    <cfRule type="cellIs" priority="8" operator="equal" aboveAverage="0" equalAverage="0" bottom="0" percent="0" rank="0" text="" dxfId="2">
      <formula>"Demo done"</formula>
    </cfRule>
    <cfRule type="cellIs" priority="9" operator="equal" aboveAverage="0" equalAverage="0" bottom="0" percent="0" rank="0" text="" dxfId="2">
      <formula>"Pilot offered"</formula>
    </cfRule>
    <cfRule type="cellIs" priority="10" operator="equal" aboveAverage="0" equalAverage="0" bottom="0" percent="0" rank="0" text="" dxfId="3">
      <formula>"Pilot active"</formula>
    </cfRule>
    <cfRule type="cellIs" priority="11" operator="equal" aboveAverage="0" equalAverage="0" bottom="0" percent="0" rank="0" text="" dxfId="2">
      <formula>"Pilot ending"</formula>
    </cfRule>
    <cfRule type="cellIs" priority="12" operator="equal" aboveAverage="0" equalAverage="0" bottom="0" percent="0" rank="0" text="" dxfId="4">
      <formula>"Paid"</formula>
    </cfRule>
    <cfRule type="cellIs" priority="13" operator="equal" aboveAverage="0" equalAverage="0" bottom="0" percent="0" rank="0" text="" dxfId="0">
      <formula>"On hold"</formula>
    </cfRule>
    <cfRule type="cellIs" priority="14" operator="equal" aboveAverage="0" equalAverage="0" bottom="0" percent="0" rank="0" text="" dxfId="5">
      <formula>"Closed-Lost"</formula>
    </cfRule>
  </conditionalFormatting>
  <conditionalFormatting sqref="O2:O500">
    <cfRule type="expression" priority="15" aboveAverage="0" equalAverage="0" bottom="0" percent="0" rank="0" text="" dxfId="5">
      <formula>AND($O2&lt;TODAY(),$O2&lt;&gt;"",NOT(OR($J2="Paid",$J2="Closed-Lost",$J2="On hold")))</formula>
    </cfRule>
  </conditionalFormatting>
  <dataValidations count="6">
    <dataValidation allowBlank="true" errorStyle="stop" operator="between" showDropDown="false" showErrorMessage="false" showInputMessage="false" sqref="J2:J500" type="list">
      <formula1>"Cold,Sent v1,Sent v2,Sent v3,Replied,Demo booked,Demo done,Pilot offered,Pilot active,Pilot ending,Paid,On hold,Closed-Lost"</formula1>
      <formula2>0</formula2>
    </dataValidation>
    <dataValidation allowBlank="true" errorStyle="stop" operator="between" showDropDown="false" showErrorMessage="false" showInputMessage="false" sqref="K2:K500" type="list">
      <formula1>"0,1,2,3,4,5,6,7"</formula1>
      <formula2>0</formula2>
    </dataValidation>
    <dataValidation allowBlank="true" errorStyle="stop" operator="between" showDropDown="false" showErrorMessage="false" showInputMessage="false" sqref="M2:M500" type="list">
      <formula1>"v1,v2,v3,call,demo,pilot-start,objection-reply,paid,checkin"</formula1>
      <formula2>0</formula2>
    </dataValidation>
    <dataValidation allowBlank="true" errorStyle="stop" operator="between" showDropDown="false" showErrorMessage="false" showInputMessage="false" sqref="I2:I500" type="list">
      <formula1>"Cold,Referral,Event,Inbound,Network"</formula1>
      <formula2>0</formula2>
    </dataValidation>
    <dataValidation allowBlank="true" errorStyle="stop" operator="between" showDropDown="false" showErrorMessage="false" showInputMessage="false" sqref="C2:C500" type="list">
      <formula1>"Fótbolti,Körfubolti,Handbolti,Other"</formula1>
      <formula2>0</formula2>
    </dataValidation>
    <dataValidation allowBlank="true" errorStyle="stop" operator="between" showDropDown="false" showErrorMessage="false" showInputMessage="false" sqref="D2:D500" type="list">
      <formula1>"M,F,Mixed"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5" t="s">
        <v>49</v>
      </c>
      <c r="B1" s="5"/>
      <c r="C1" s="5"/>
      <c r="D1" s="5"/>
      <c r="E1" s="5"/>
    </row>
    <row r="2" customFormat="false" ht="15" hidden="false" customHeight="false" outlineLevel="0" collapsed="false">
      <c r="A2" s="6" t="s">
        <v>50</v>
      </c>
      <c r="B2" s="6"/>
      <c r="C2" s="6"/>
      <c r="D2" s="6"/>
      <c r="E2" s="6"/>
    </row>
    <row r="4" customFormat="false" ht="17.35" hidden="false" customHeight="false" outlineLevel="0" collapsed="false">
      <c r="A4" s="7" t="s">
        <v>51</v>
      </c>
      <c r="B4" s="7"/>
      <c r="C4" s="7"/>
      <c r="D4" s="7" t="s">
        <v>52</v>
      </c>
      <c r="E4" s="7"/>
    </row>
    <row r="5" customFormat="false" ht="17.35" hidden="false" customHeight="false" outlineLevel="0" collapsed="false">
      <c r="A5" s="8" t="s">
        <v>9</v>
      </c>
      <c r="B5" s="8" t="s">
        <v>53</v>
      </c>
      <c r="C5" s="8" t="s">
        <v>54</v>
      </c>
      <c r="D5" s="9" t="s">
        <v>55</v>
      </c>
      <c r="E5" s="10" t="n">
        <f aca="false">COUNTIF(Pipeline!$J$2:$J$500,"Pilot active")</f>
        <v>3</v>
      </c>
    </row>
    <row r="6" customFormat="false" ht="17.35" hidden="false" customHeight="false" outlineLevel="0" collapsed="false">
      <c r="A6" s="11" t="s">
        <v>38</v>
      </c>
      <c r="B6" s="11" t="n">
        <f aca="false">COUNTIF(Pipeline!$J$2:$J$500,"Cold")</f>
        <v>0</v>
      </c>
      <c r="C6" s="12" t="n">
        <f aca="false">IFERROR(B6/SUM($B$6:$B$18),0)</f>
        <v>0</v>
      </c>
      <c r="D6" s="9" t="s">
        <v>56</v>
      </c>
      <c r="E6" s="10" t="n">
        <f aca="false">COUNTIF(Pipeline!$J$2:$J$500,"Paid")</f>
        <v>0</v>
      </c>
    </row>
    <row r="7" customFormat="false" ht="17.35" hidden="false" customHeight="false" outlineLevel="0" collapsed="false">
      <c r="A7" s="11" t="s">
        <v>57</v>
      </c>
      <c r="B7" s="11" t="n">
        <f aca="false">COUNTIF(Pipeline!$J$2:$J$500,"Sent v1")</f>
        <v>0</v>
      </c>
      <c r="C7" s="12" t="n">
        <f aca="false">IFERROR(B7/SUM($B$6:$B$18),0)</f>
        <v>0</v>
      </c>
      <c r="D7" s="9" t="s">
        <v>18</v>
      </c>
      <c r="E7" s="13" t="n">
        <f aca="false">SUMIF(Pipeline!$J$2:$J$500,"Paid",Pipeline!$S$2:$S$500)</f>
        <v>0</v>
      </c>
    </row>
    <row r="8" customFormat="false" ht="17.35" hidden="false" customHeight="false" outlineLevel="0" collapsed="false">
      <c r="A8" s="11" t="s">
        <v>58</v>
      </c>
      <c r="B8" s="11" t="n">
        <f aca="false">COUNTIF(Pipeline!$J$2:$J$500,"Sent v2")</f>
        <v>0</v>
      </c>
      <c r="C8" s="12" t="n">
        <f aca="false">IFERROR(B8/SUM($B$6:$B$18),0)</f>
        <v>0</v>
      </c>
      <c r="D8" s="9" t="s">
        <v>59</v>
      </c>
      <c r="E8" s="13" t="n">
        <f aca="false">SUMIF(Pipeline!$J$2:$J$500,"Paid",Pipeline!$S$2:$S$500)*12</f>
        <v>0</v>
      </c>
    </row>
    <row r="9" customFormat="false" ht="17.35" hidden="false" customHeight="false" outlineLevel="0" collapsed="false">
      <c r="A9" s="11" t="s">
        <v>60</v>
      </c>
      <c r="B9" s="11" t="n">
        <f aca="false">COUNTIF(Pipeline!$J$2:$J$500,"Sent v3")</f>
        <v>0</v>
      </c>
      <c r="C9" s="12" t="n">
        <f aca="false">IFERROR(B9/SUM($B$6:$B$18),0)</f>
        <v>0</v>
      </c>
      <c r="D9" s="14" t="s">
        <v>61</v>
      </c>
      <c r="E9" s="15" t="n">
        <f aca="false">COUNTIF(Pipeline!$J$2:$J$500,"Demo booked")+COUNTIF(Pipeline!$J$2:$J$500,"Demo done")</f>
        <v>0</v>
      </c>
    </row>
    <row r="10" customFormat="false" ht="17.35" hidden="false" customHeight="false" outlineLevel="0" collapsed="false">
      <c r="A10" s="11" t="s">
        <v>62</v>
      </c>
      <c r="B10" s="11" t="n">
        <f aca="false">COUNTIF(Pipeline!$J$2:$J$500,"Replied")</f>
        <v>0</v>
      </c>
      <c r="C10" s="12" t="n">
        <f aca="false">IFERROR(B10/SUM($B$6:$B$18),0)</f>
        <v>0</v>
      </c>
      <c r="D10" s="14" t="s">
        <v>63</v>
      </c>
      <c r="E10" s="15" t="n">
        <f aca="false">COUNTIFS(Pipeline!$K$2:$K$500,"&gt;=1",Pipeline!$J$2:$J$500,"&lt;&gt;Closed-Lost",Pipeline!$J$2:$J$500,"&lt;&gt;Paid",Pipeline!$J$2:$J$500,"&lt;&gt;On hold")</f>
        <v>3</v>
      </c>
    </row>
    <row r="11" customFormat="false" ht="17.35" hidden="false" customHeight="false" outlineLevel="0" collapsed="false">
      <c r="A11" s="11" t="s">
        <v>64</v>
      </c>
      <c r="B11" s="11" t="n">
        <f aca="false">COUNTIF(Pipeline!$J$2:$J$500,"Demo booked")</f>
        <v>0</v>
      </c>
      <c r="C11" s="12" t="n">
        <f aca="false">IFERROR(B11/SUM($B$6:$B$18),0)</f>
        <v>0</v>
      </c>
      <c r="D11" s="16" t="s">
        <v>65</v>
      </c>
      <c r="E11" s="17" t="n">
        <f aca="false">COUNTIF(Pipeline!$J$2:$J$500,"Cold")</f>
        <v>0</v>
      </c>
    </row>
    <row r="12" customFormat="false" ht="17.35" hidden="false" customHeight="false" outlineLevel="0" collapsed="false">
      <c r="A12" s="11" t="s">
        <v>66</v>
      </c>
      <c r="B12" s="11" t="n">
        <f aca="false">COUNTIF(Pipeline!$J$2:$J$500,"Demo done")</f>
        <v>0</v>
      </c>
      <c r="C12" s="12" t="n">
        <f aca="false">IFERROR(B12/SUM($B$6:$B$18),0)</f>
        <v>0</v>
      </c>
      <c r="D12" s="18" t="s">
        <v>67</v>
      </c>
      <c r="E12" s="19" t="n">
        <f aca="false">COUNTIF(Pipeline!$J$2:$J$500,"Closed-Lost")</f>
        <v>0</v>
      </c>
    </row>
    <row r="13" customFormat="false" ht="15" hidden="false" customHeight="false" outlineLevel="0" collapsed="false">
      <c r="A13" s="11" t="s">
        <v>68</v>
      </c>
      <c r="B13" s="11" t="n">
        <f aca="false">COUNTIF(Pipeline!$J$2:$J$500,"Pilot offered")</f>
        <v>0</v>
      </c>
      <c r="C13" s="12" t="n">
        <f aca="false">IFERROR(B13/SUM($B$6:$B$18),0)</f>
        <v>0</v>
      </c>
    </row>
    <row r="14" customFormat="false" ht="15" hidden="false" customHeight="false" outlineLevel="0" collapsed="false">
      <c r="A14" s="11" t="s">
        <v>28</v>
      </c>
      <c r="B14" s="11" t="n">
        <f aca="false">COUNTIF(Pipeline!$J$2:$J$500,"Pilot active")</f>
        <v>3</v>
      </c>
      <c r="C14" s="12" t="n">
        <f aca="false">IFERROR(B14/SUM($B$6:$B$18),0)</f>
        <v>1</v>
      </c>
    </row>
    <row r="15" customFormat="false" ht="15" hidden="false" customHeight="false" outlineLevel="0" collapsed="false">
      <c r="A15" s="11" t="s">
        <v>69</v>
      </c>
      <c r="B15" s="11" t="n">
        <f aca="false">COUNTIF(Pipeline!$J$2:$J$500,"Pilot ending")</f>
        <v>0</v>
      </c>
      <c r="C15" s="12" t="n">
        <f aca="false">IFERROR(B15/SUM($B$6:$B$18),0)</f>
        <v>0</v>
      </c>
    </row>
    <row r="16" customFormat="false" ht="15" hidden="false" customHeight="false" outlineLevel="0" collapsed="false">
      <c r="A16" s="11" t="s">
        <v>70</v>
      </c>
      <c r="B16" s="11" t="n">
        <f aca="false">COUNTIF(Pipeline!$J$2:$J$500,"Paid")</f>
        <v>0</v>
      </c>
      <c r="C16" s="12" t="n">
        <f aca="false">IFERROR(B16/SUM($B$6:$B$18),0)</f>
        <v>0</v>
      </c>
    </row>
    <row r="17" customFormat="false" ht="15" hidden="false" customHeight="false" outlineLevel="0" collapsed="false">
      <c r="A17" s="11" t="s">
        <v>71</v>
      </c>
      <c r="B17" s="11" t="n">
        <f aca="false">COUNTIF(Pipeline!$J$2:$J$500,"On hold")</f>
        <v>0</v>
      </c>
      <c r="C17" s="12" t="n">
        <f aca="false">IFERROR(B17/SUM($B$6:$B$18),0)</f>
        <v>0</v>
      </c>
    </row>
    <row r="18" customFormat="false" ht="15" hidden="false" customHeight="false" outlineLevel="0" collapsed="false">
      <c r="A18" s="11" t="s">
        <v>67</v>
      </c>
      <c r="B18" s="11" t="n">
        <f aca="false">COUNTIF(Pipeline!$J$2:$J$500,"Closed-Lost")</f>
        <v>0</v>
      </c>
      <c r="C18" s="12" t="n">
        <f aca="false">IFERROR(B18/SUM($B$6:$B$18),0)</f>
        <v>0</v>
      </c>
    </row>
    <row r="19" customFormat="false" ht="15" hidden="false" customHeight="false" outlineLevel="0" collapsed="false">
      <c r="A19" s="20" t="s">
        <v>72</v>
      </c>
      <c r="B19" s="20" t="n">
        <f aca="false">SUM(B6:B18)</f>
        <v>3</v>
      </c>
      <c r="C19" s="21" t="n">
        <f aca="false">IFERROR(B19/B19,0)</f>
        <v>1</v>
      </c>
    </row>
    <row r="22" customFormat="false" ht="17.35" hidden="false" customHeight="false" outlineLevel="0" collapsed="false">
      <c r="A22" s="7" t="s">
        <v>73</v>
      </c>
      <c r="B22" s="7"/>
      <c r="C22" s="7"/>
    </row>
    <row r="23" customFormat="false" ht="15" hidden="false" customHeight="false" outlineLevel="0" collapsed="false">
      <c r="A23" s="8" t="s">
        <v>74</v>
      </c>
      <c r="B23" s="8" t="s">
        <v>75</v>
      </c>
    </row>
    <row r="24" customFormat="false" ht="15" hidden="false" customHeight="false" outlineLevel="0" collapsed="false">
      <c r="A24" s="11" t="s">
        <v>76</v>
      </c>
      <c r="B24" s="12" t="n">
        <f aca="false">IFERROR(COUNTIF(Pipeline!$J$2:$J$500,"Replied")/COUNTIF(Pipeline!$J$2:$J$500,"Sent v1"),0)</f>
        <v>0</v>
      </c>
    </row>
    <row r="25" customFormat="false" ht="15" hidden="false" customHeight="false" outlineLevel="0" collapsed="false">
      <c r="A25" s="11" t="s">
        <v>77</v>
      </c>
      <c r="B25" s="12" t="n">
        <f aca="false">IFERROR((COUNTIF(Pipeline!$J$2:$J$500,"Demo booked")+COUNTIF(Pipeline!$J$2:$J$500,"Demo done"))/COUNTIF(Pipeline!$J$2:$J$500,"Replied"),0)</f>
        <v>0</v>
      </c>
    </row>
    <row r="26" customFormat="false" ht="15" hidden="false" customHeight="false" outlineLevel="0" collapsed="false">
      <c r="A26" s="11" t="s">
        <v>78</v>
      </c>
      <c r="B26" s="12" t="n">
        <f aca="false">IFERROR((COUNTIF(Pipeline!$J$2:$J$500,"Pilot active")+COUNTIF(Pipeline!$J$2:$J$500,"Paid"))/COUNTIF(Pipeline!$J$2:$J$500,"Demo done"),0)</f>
        <v>0</v>
      </c>
    </row>
    <row r="27" customFormat="false" ht="15" hidden="false" customHeight="false" outlineLevel="0" collapsed="false">
      <c r="A27" s="11" t="s">
        <v>79</v>
      </c>
      <c r="B27" s="12" t="n">
        <f aca="false">IFERROR(COUNTIF(Pipeline!$J$2:$J$500,"Paid")/(COUNTIF(Pipeline!$J$2:$J$500,"Pilot active")+COUNTIF(Pipeline!$J$2:$J$500,"Paid")),0)</f>
        <v>0</v>
      </c>
    </row>
    <row r="28" customFormat="false" ht="15" hidden="false" customHeight="false" outlineLevel="0" collapsed="false">
      <c r="A28" s="11" t="s">
        <v>80</v>
      </c>
      <c r="B28" s="12" t="n">
        <f aca="false">IFERROR(COUNTIF(Pipeline!$J$2:$J$500,"Paid")/COUNTA(Pipeline!$A$2:$A$500),0)</f>
        <v>0</v>
      </c>
    </row>
    <row r="32" customFormat="false" ht="17.35" hidden="false" customHeight="false" outlineLevel="0" collapsed="false">
      <c r="A32" s="7" t="s">
        <v>81</v>
      </c>
      <c r="B32" s="7"/>
      <c r="C32" s="7"/>
    </row>
    <row r="33" customFormat="false" ht="15" hidden="false" customHeight="false" outlineLevel="0" collapsed="false">
      <c r="A33" s="11" t="s">
        <v>82</v>
      </c>
      <c r="B33" s="22" t="n">
        <f aca="true">COUNTIFS(Pipeline!$O$2:$O$500,"&lt;"&amp;TODAY(),Pipeline!$J$2:$J$500,"&lt;&gt;Paid",Pipeline!$J$2:$J$500,"&lt;&gt;Closed-Lost",Pipeline!$J$2:$J$500,"&lt;&gt;On hold")</f>
        <v>0</v>
      </c>
    </row>
    <row r="34" customFormat="false" ht="15" hidden="false" customHeight="false" outlineLevel="0" collapsed="false">
      <c r="A34" s="11" t="s">
        <v>83</v>
      </c>
      <c r="B34" s="22" t="n">
        <f aca="true">COUNTIFS(Pipeline!$O$2:$O$500,TODAY())</f>
        <v>0</v>
      </c>
    </row>
    <row r="35" customFormat="false" ht="15" hidden="false" customHeight="false" outlineLevel="0" collapsed="false">
      <c r="A35" s="11" t="s">
        <v>84</v>
      </c>
      <c r="B35" s="22" t="n">
        <f aca="true">COUNTIFS(Pipeline!$O$2:$O$500,"&gt;"&amp;TODAY(),Pipeline!$O$2:$O$500,"&lt;="&amp;(TODAY()+7))</f>
        <v>0</v>
      </c>
    </row>
  </sheetData>
  <mergeCells count="6">
    <mergeCell ref="A1:E1"/>
    <mergeCell ref="A2:E2"/>
    <mergeCell ref="A4:C4"/>
    <mergeCell ref="D4:E4"/>
    <mergeCell ref="A22:C22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22.05" hidden="false" customHeight="false" outlineLevel="0" collapsed="false">
      <c r="A1" s="23" t="s">
        <v>85</v>
      </c>
      <c r="B1" s="23"/>
      <c r="C1" s="23"/>
      <c r="D1" s="23"/>
    </row>
    <row r="3" customFormat="false" ht="37.5" hidden="false" customHeight="true" outlineLevel="0" collapsed="false">
      <c r="A3" s="24" t="s">
        <v>10</v>
      </c>
      <c r="B3" s="24" t="s">
        <v>9</v>
      </c>
      <c r="C3" s="24" t="s">
        <v>86</v>
      </c>
      <c r="D3" s="24" t="s">
        <v>13</v>
      </c>
    </row>
    <row r="4" customFormat="false" ht="37.5" hidden="false" customHeight="true" outlineLevel="0" collapsed="false">
      <c r="A4" s="2" t="n">
        <v>0</v>
      </c>
      <c r="B4" s="2" t="s">
        <v>38</v>
      </c>
      <c r="C4" s="2" t="s">
        <v>87</v>
      </c>
      <c r="D4" s="2" t="s">
        <v>88</v>
      </c>
    </row>
    <row r="5" customFormat="false" ht="37.5" hidden="false" customHeight="true" outlineLevel="0" collapsed="false">
      <c r="A5" s="2" t="n">
        <v>1</v>
      </c>
      <c r="B5" s="2" t="s">
        <v>57</v>
      </c>
      <c r="C5" s="2" t="s">
        <v>89</v>
      </c>
      <c r="D5" s="2" t="s">
        <v>90</v>
      </c>
    </row>
    <row r="6" customFormat="false" ht="37.5" hidden="false" customHeight="true" outlineLevel="0" collapsed="false">
      <c r="A6" s="2" t="n">
        <v>2</v>
      </c>
      <c r="B6" s="2" t="s">
        <v>58</v>
      </c>
      <c r="C6" s="2" t="s">
        <v>91</v>
      </c>
      <c r="D6" s="2" t="s">
        <v>92</v>
      </c>
    </row>
    <row r="7" customFormat="false" ht="37.5" hidden="false" customHeight="true" outlineLevel="0" collapsed="false">
      <c r="A7" s="2" t="n">
        <v>3</v>
      </c>
      <c r="B7" s="2" t="s">
        <v>60</v>
      </c>
      <c r="C7" s="2" t="s">
        <v>93</v>
      </c>
      <c r="D7" s="2" t="s">
        <v>94</v>
      </c>
    </row>
    <row r="8" customFormat="false" ht="37.5" hidden="false" customHeight="true" outlineLevel="0" collapsed="false">
      <c r="A8" s="2" t="n">
        <v>3</v>
      </c>
      <c r="B8" s="2" t="s">
        <v>62</v>
      </c>
      <c r="C8" s="2" t="s">
        <v>95</v>
      </c>
      <c r="D8" s="2" t="s">
        <v>96</v>
      </c>
    </row>
    <row r="9" customFormat="false" ht="37.5" hidden="false" customHeight="true" outlineLevel="0" collapsed="false">
      <c r="A9" s="2" t="n">
        <v>4</v>
      </c>
      <c r="B9" s="2" t="s">
        <v>64</v>
      </c>
      <c r="C9" s="2" t="s">
        <v>97</v>
      </c>
      <c r="D9" s="2" t="s">
        <v>98</v>
      </c>
    </row>
    <row r="10" customFormat="false" ht="37.5" hidden="false" customHeight="true" outlineLevel="0" collapsed="false">
      <c r="A10" s="2" t="n">
        <v>4</v>
      </c>
      <c r="B10" s="2" t="s">
        <v>66</v>
      </c>
      <c r="C10" s="2" t="s">
        <v>99</v>
      </c>
      <c r="D10" s="2" t="s">
        <v>100</v>
      </c>
    </row>
    <row r="11" customFormat="false" ht="37.5" hidden="false" customHeight="true" outlineLevel="0" collapsed="false">
      <c r="A11" s="2" t="n">
        <v>4</v>
      </c>
      <c r="B11" s="2" t="s">
        <v>68</v>
      </c>
      <c r="C11" s="2" t="s">
        <v>101</v>
      </c>
      <c r="D11" s="2" t="s">
        <v>102</v>
      </c>
    </row>
    <row r="12" customFormat="false" ht="37.5" hidden="false" customHeight="true" outlineLevel="0" collapsed="false">
      <c r="A12" s="2" t="n">
        <v>5</v>
      </c>
      <c r="B12" s="2" t="s">
        <v>28</v>
      </c>
      <c r="C12" s="2" t="s">
        <v>103</v>
      </c>
      <c r="D12" s="2" t="s">
        <v>104</v>
      </c>
    </row>
    <row r="13" customFormat="false" ht="37.5" hidden="false" customHeight="true" outlineLevel="0" collapsed="false">
      <c r="A13" s="2" t="n">
        <v>5</v>
      </c>
      <c r="B13" s="2" t="s">
        <v>69</v>
      </c>
      <c r="C13" s="2" t="s">
        <v>105</v>
      </c>
      <c r="D13" s="2" t="s">
        <v>106</v>
      </c>
    </row>
    <row r="14" customFormat="false" ht="37.5" hidden="false" customHeight="true" outlineLevel="0" collapsed="false">
      <c r="A14" s="2" t="n">
        <v>6</v>
      </c>
      <c r="B14" s="2" t="s">
        <v>70</v>
      </c>
      <c r="C14" s="2" t="s">
        <v>107</v>
      </c>
      <c r="D14" s="2" t="s">
        <v>108</v>
      </c>
    </row>
    <row r="15" customFormat="false" ht="37.5" hidden="false" customHeight="true" outlineLevel="0" collapsed="false">
      <c r="A15" s="2"/>
      <c r="B15" s="2" t="s">
        <v>71</v>
      </c>
      <c r="C15" s="2" t="s">
        <v>109</v>
      </c>
      <c r="D15" s="2" t="s">
        <v>110</v>
      </c>
    </row>
    <row r="16" customFormat="false" ht="37.5" hidden="false" customHeight="true" outlineLevel="0" collapsed="false">
      <c r="A16" s="2" t="n">
        <v>7</v>
      </c>
      <c r="B16" s="2" t="s">
        <v>67</v>
      </c>
      <c r="C16" s="2" t="s">
        <v>111</v>
      </c>
      <c r="D16" s="2" t="s">
        <v>112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2026-05-04T22:24:41Z</dcterms:created>
  <dc:creator>openpyxl</dc:creator>
  <dc:description/>
  <dc:language>en-US</dc:language>
  <cp:lastModifiedBy/>
  <dcterms:modified xsi:type="dcterms:W3CDTF">2026-05-04T22:24:41Z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